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13_ncr:1_{AB1151EA-EE43-4778-8153-0DD6229E3401}" xr6:coauthVersionLast="36" xr6:coauthVersionMax="36" xr10:uidLastSave="{00000000-0000-0000-0000-000000000000}"/>
  <bookViews>
    <workbookView xWindow="0" yWindow="0" windowWidth="14370" windowHeight="10830" xr2:uid="{8FC4E78C-DA54-41F3-BEAB-E9DB3D527768}"/>
  </bookViews>
  <sheets>
    <sheet name="Main" sheetId="1" r:id="rId1"/>
    <sheet name="Validation_Deposit" sheetId="2" r:id="rId2"/>
    <sheet name="Validation_IRS" sheetId="3" r:id="rId3"/>
    <sheet name="Info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A2" i="3"/>
  <c r="E2" i="2"/>
  <c r="A2" i="2"/>
  <c r="F13" i="1"/>
  <c r="F12" i="1"/>
  <c r="F11" i="1"/>
  <c r="F10" i="1"/>
  <c r="F9" i="1"/>
  <c r="C28" i="3"/>
  <c r="C44" i="3"/>
  <c r="C36" i="3"/>
  <c r="C27" i="3"/>
  <c r="C13" i="3"/>
  <c r="C9" i="3"/>
  <c r="C26" i="3"/>
  <c r="C12" i="3"/>
  <c r="C8" i="3"/>
  <c r="C25" i="3"/>
  <c r="C14" i="3"/>
  <c r="C40" i="3"/>
  <c r="C32" i="3"/>
  <c r="C24" i="3"/>
  <c r="F7" i="1"/>
  <c r="C43" i="3"/>
  <c r="C38" i="3"/>
  <c r="C29" i="3"/>
  <c r="C23" i="3"/>
  <c r="G7" i="1"/>
  <c r="C11" i="3"/>
  <c r="C39" i="3"/>
  <c r="C22" i="3"/>
  <c r="C42" i="3"/>
  <c r="C35" i="3"/>
  <c r="C30" i="3"/>
  <c r="C21" i="3"/>
  <c r="C10" i="3"/>
  <c r="C37" i="3"/>
  <c r="C20" i="3"/>
  <c r="F8" i="1"/>
  <c r="C45" i="3"/>
  <c r="C6" i="3"/>
  <c r="C31" i="3"/>
  <c r="C19" i="3"/>
  <c r="C34" i="3"/>
  <c r="C18" i="3"/>
  <c r="C17" i="3"/>
  <c r="C41" i="3"/>
  <c r="C33" i="3"/>
  <c r="C16" i="3"/>
  <c r="C15" i="3"/>
  <c r="G12" i="1"/>
  <c r="C7" i="3"/>
  <c r="D29" i="3"/>
  <c r="D18" i="3"/>
  <c r="D41" i="3"/>
  <c r="D39" i="3"/>
  <c r="D7" i="3"/>
  <c r="D13" i="3"/>
  <c r="D43" i="3"/>
  <c r="D9" i="3"/>
  <c r="D28" i="3"/>
  <c r="D17" i="3"/>
  <c r="D33" i="3"/>
  <c r="D20" i="3"/>
  <c r="D38" i="3"/>
  <c r="D6" i="3"/>
  <c r="D44" i="3"/>
  <c r="D21" i="3"/>
  <c r="D19" i="3"/>
  <c r="D27" i="3"/>
  <c r="D16" i="3"/>
  <c r="D45" i="3"/>
  <c r="D42" i="3"/>
  <c r="D37" i="3"/>
  <c r="D26" i="3"/>
  <c r="D24" i="3"/>
  <c r="D11" i="3"/>
  <c r="D15" i="3"/>
  <c r="D22" i="3"/>
  <c r="D31" i="3"/>
  <c r="D36" i="3"/>
  <c r="D12" i="3"/>
  <c r="D25" i="3"/>
  <c r="D35" i="3"/>
  <c r="D14" i="3"/>
  <c r="D32" i="3"/>
  <c r="D40" i="3"/>
  <c r="D34" i="3"/>
  <c r="D23" i="3"/>
  <c r="D10" i="3"/>
  <c r="D30" i="3"/>
  <c r="D8" i="3"/>
  <c r="G10" i="1"/>
  <c r="G9" i="1"/>
  <c r="G8" i="1"/>
  <c r="G13" i="1"/>
  <c r="G11" i="1"/>
  <c r="D2" i="3" l="1"/>
  <c r="D2" i="2"/>
  <c r="H11" i="1"/>
  <c r="H13" i="1"/>
  <c r="C2" i="3"/>
  <c r="C2" i="2"/>
  <c r="H8" i="1"/>
  <c r="H12" i="1"/>
  <c r="H9" i="1"/>
  <c r="H7" i="1"/>
  <c r="H10" i="1"/>
  <c r="F2" i="2"/>
  <c r="K11" i="1"/>
  <c r="I11" i="1"/>
  <c r="K13" i="1"/>
  <c r="I13" i="1"/>
  <c r="G2" i="3"/>
  <c r="K8" i="1"/>
  <c r="I8" i="1"/>
  <c r="K12" i="1"/>
  <c r="I12" i="1"/>
  <c r="K9" i="1"/>
  <c r="I9" i="1"/>
  <c r="E10" i="3"/>
  <c r="E22" i="3"/>
  <c r="E12" i="3"/>
  <c r="E44" i="3"/>
  <c r="E23" i="3"/>
  <c r="E33" i="3"/>
  <c r="E35" i="3"/>
  <c r="E19" i="3"/>
  <c r="E31" i="3"/>
  <c r="L11" i="1"/>
  <c r="E14" i="3"/>
  <c r="L10" i="1"/>
  <c r="E24" i="3"/>
  <c r="E25" i="3"/>
  <c r="E29" i="3"/>
  <c r="L12" i="1"/>
  <c r="E36" i="3"/>
  <c r="E30" i="3"/>
  <c r="L13" i="1"/>
  <c r="E15" i="3"/>
  <c r="E40" i="3"/>
  <c r="E20" i="3"/>
  <c r="E11" i="3"/>
  <c r="E26" i="3"/>
  <c r="E8" i="3"/>
  <c r="E37" i="3"/>
  <c r="E41" i="3"/>
  <c r="E21" i="3"/>
  <c r="L7" i="1"/>
  <c r="E16" i="3"/>
  <c r="E27" i="3"/>
  <c r="K7" i="1"/>
  <c r="E6" i="3"/>
  <c r="E38" i="3"/>
  <c r="L9" i="1"/>
  <c r="E43" i="3"/>
  <c r="E13" i="3"/>
  <c r="E17" i="3"/>
  <c r="E28" i="3"/>
  <c r="E42" i="3"/>
  <c r="E45" i="3"/>
  <c r="E7" i="3"/>
  <c r="E39" i="3"/>
  <c r="E9" i="3"/>
  <c r="E32" i="3"/>
  <c r="E34" i="3"/>
  <c r="L8" i="1"/>
  <c r="E18" i="3"/>
  <c r="I7" i="1"/>
  <c r="K10" i="1"/>
  <c r="I10" i="1"/>
  <c r="M10" i="1" l="1"/>
  <c r="M7" i="1"/>
  <c r="F18" i="3"/>
  <c r="N8" i="1"/>
  <c r="F34" i="3"/>
  <c r="F32" i="3"/>
  <c r="F9" i="3"/>
  <c r="F39" i="3"/>
  <c r="F7" i="3"/>
  <c r="F45" i="3"/>
  <c r="F42" i="3"/>
  <c r="F28" i="3"/>
  <c r="F17" i="3"/>
  <c r="F13" i="3"/>
  <c r="F43" i="3"/>
  <c r="N9" i="1"/>
  <c r="F38" i="3"/>
  <c r="F6" i="3"/>
  <c r="F27" i="3"/>
  <c r="F16" i="3"/>
  <c r="N7" i="1"/>
  <c r="F21" i="3"/>
  <c r="F41" i="3"/>
  <c r="F37" i="3"/>
  <c r="F8" i="3"/>
  <c r="F26" i="3"/>
  <c r="F11" i="3"/>
  <c r="F20" i="3"/>
  <c r="F40" i="3"/>
  <c r="F15" i="3"/>
  <c r="N13" i="1"/>
  <c r="F30" i="3"/>
  <c r="F36" i="3"/>
  <c r="N12" i="1"/>
  <c r="F29" i="3"/>
  <c r="F25" i="3"/>
  <c r="F24" i="3"/>
  <c r="N10" i="1"/>
  <c r="F14" i="3"/>
  <c r="N11" i="1"/>
  <c r="F31" i="3"/>
  <c r="F19" i="3"/>
  <c r="F35" i="3"/>
  <c r="F33" i="3"/>
  <c r="F23" i="3"/>
  <c r="F44" i="3"/>
  <c r="F12" i="3"/>
  <c r="F22" i="3"/>
  <c r="F10" i="3"/>
  <c r="M9" i="1"/>
  <c r="M12" i="1"/>
  <c r="M8" i="1"/>
  <c r="M13" i="1"/>
  <c r="M11" i="1"/>
  <c r="G2" i="2"/>
  <c r="F2" i="3"/>
  <c r="H2" i="3" s="1"/>
</calcChain>
</file>

<file path=xl/sharedStrings.xml><?xml version="1.0" encoding="utf-8"?>
<sst xmlns="http://schemas.openxmlformats.org/spreadsheetml/2006/main" count="68" uniqueCount="53">
  <si>
    <t>Today</t>
  </si>
  <si>
    <t>ACT/365</t>
  </si>
  <si>
    <t>No</t>
  </si>
  <si>
    <t>Jump Date</t>
  </si>
  <si>
    <t>Inst. Tenor</t>
  </si>
  <si>
    <t>Mty YearFrac</t>
  </si>
  <si>
    <t>Jump YearFrac</t>
  </si>
  <si>
    <t>Market Rate</t>
  </si>
  <si>
    <t>Solved Forward</t>
  </si>
  <si>
    <t>Jump Date DCF</t>
  </si>
  <si>
    <t>Mty Date DCF</t>
  </si>
  <si>
    <t>Jump Zero Rate</t>
  </si>
  <si>
    <t>Mty Zero Rate</t>
  </si>
  <si>
    <t>1D</t>
  </si>
  <si>
    <t>Deposit</t>
  </si>
  <si>
    <t>3M</t>
  </si>
  <si>
    <t>IRS</t>
  </si>
  <si>
    <t>18M</t>
  </si>
  <si>
    <t>Target Tenor</t>
  </si>
  <si>
    <t>Target Index</t>
  </si>
  <si>
    <t>Target Date</t>
  </si>
  <si>
    <t>Target YearFrac</t>
  </si>
  <si>
    <t>NPV</t>
  </si>
  <si>
    <t>NPV Error</t>
  </si>
  <si>
    <t>Payment Date</t>
  </si>
  <si>
    <t>YearFrac</t>
  </si>
  <si>
    <t>Expected CashFlow</t>
  </si>
  <si>
    <t>DF</t>
  </si>
  <si>
    <t>DCF</t>
  </si>
  <si>
    <t>NPV Fixed</t>
  </si>
  <si>
    <t>NPV Floating</t>
  </si>
  <si>
    <t>Creation Timestamp</t>
  </si>
  <si>
    <t>Date-Based IRS Bootstrapper</t>
  </si>
  <si>
    <t>Features:</t>
  </si>
  <si>
    <t>- All calculations are date-based</t>
  </si>
  <si>
    <t>- Day count: ACT/365, ACT/360, ACT/ACT, 30/360</t>
  </si>
  <si>
    <t>- IRS freq: Annual, Semi, Quarterly, Monthly, Daily</t>
  </si>
  <si>
    <t>VBA Functions:</t>
  </si>
  <si>
    <t>CalcYF, AddTenor, LogLinearDF_Date, RunBootstrap</t>
  </si>
  <si>
    <t>Usage:</t>
  </si>
  <si>
    <t>1. Set Today and DayCount Basis</t>
  </si>
  <si>
    <t>2. Enter market instruments</t>
  </si>
  <si>
    <t>3. Click Run Bootstrapping button</t>
  </si>
  <si>
    <t>coupon freq</t>
    <phoneticPr fontId="1" type="noConversion"/>
  </si>
  <si>
    <t>coupon DCB</t>
    <phoneticPr fontId="1" type="noConversion"/>
  </si>
  <si>
    <t>discount DCB</t>
    <phoneticPr fontId="1" type="noConversion"/>
  </si>
  <si>
    <t>6M</t>
    <phoneticPr fontId="1" type="noConversion"/>
  </si>
  <si>
    <t>9M</t>
    <phoneticPr fontId="1" type="noConversion"/>
  </si>
  <si>
    <t>1Y</t>
    <phoneticPr fontId="1" type="noConversion"/>
  </si>
  <si>
    <t>2Y</t>
    <phoneticPr fontId="1" type="noConversion"/>
  </si>
  <si>
    <t>Inst. Type</t>
    <phoneticPr fontId="1" type="noConversion"/>
  </si>
  <si>
    <t>Inst. Mty Date</t>
    <phoneticPr fontId="1" type="noConversion"/>
  </si>
  <si>
    <t>30/360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</si>
</sst>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%"/>
    <numFmt numFmtId="177" formatCode="0.00000000"/>
    <numFmt numFmtId="178" formatCode="0.000000"/>
    <numFmt numFmtId="179" formatCode="0.000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2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</cellXfs>
  <cellStyles count="1">
    <cellStyle name="표준" xfId="0" builtinId="0"/>
  </cellStyles>
  <dxfs count="17">
    <dxf>
      <numFmt numFmtId="176" formatCode="0.0000%"/>
    </dxf>
    <dxf>
      <alignment horizontal="general" vertical="center" textRotation="0" wrapText="1" indent="0" justifyLastLine="0" shrinkToFit="0" readingOrder="0"/>
    </dxf>
    <dxf>
      <numFmt numFmtId="176" formatCode="0.0000%"/>
    </dxf>
    <dxf>
      <numFmt numFmtId="19" formatCode="yyyy/mm/dd"/>
    </dxf>
    <dxf>
      <numFmt numFmtId="179" formatCode="0.0000"/>
    </dxf>
    <dxf>
      <numFmt numFmtId="19" formatCode="yyyy/mm/dd"/>
    </dxf>
    <dxf>
      <numFmt numFmtId="176" formatCode="0.0000%"/>
    </dxf>
    <dxf>
      <numFmt numFmtId="19" formatCode="yyyy/mm/dd"/>
    </dxf>
    <dxf>
      <numFmt numFmtId="176" formatCode="0.0000%"/>
    </dxf>
    <dxf>
      <numFmt numFmtId="176" formatCode="0.0000%"/>
    </dxf>
    <dxf>
      <numFmt numFmtId="177" formatCode="0.00000000"/>
    </dxf>
    <dxf>
      <numFmt numFmtId="177" formatCode="0.00000000"/>
    </dxf>
    <dxf>
      <numFmt numFmtId="176" formatCode="0.0000%"/>
    </dxf>
    <dxf>
      <numFmt numFmtId="19" formatCode="yyyy/mm/dd"/>
    </dxf>
    <dxf>
      <numFmt numFmtId="19" formatCode="yyyy/mm/dd"/>
    </dxf>
    <dxf>
      <numFmt numFmtId="19" formatCode="yyyy/mm/dd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1</xdr:row>
          <xdr:rowOff>95250</xdr:rowOff>
        </xdr:from>
        <xdr:to>
          <xdr:col>11</xdr:col>
          <xdr:colOff>1000125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A23C4-9062-4739-8A9C-68EA5C5D7A2E}" name="Common" displayName="Common" ref="B2:E3" totalsRowShown="0">
  <tableColumns count="4">
    <tableColumn id="1" xr3:uid="{124C6104-D7AD-4287-A4EB-6E544321C5F0}" name="Today" dataDxfId="16"/>
    <tableColumn id="2" xr3:uid="{C16F39F7-6702-474E-A248-B4016AADF428}" name="coupon DCB"/>
    <tableColumn id="3" xr3:uid="{BD09D772-CAC1-4105-974D-3BC7C60F5C8C}" name="coupon freq"/>
    <tableColumn id="4" xr3:uid="{DD4D450B-C18E-45B1-8289-05DAB1F8B893}" name="discount DCB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8B98D6-91BF-4EFF-84B6-C497821315FD}" name="JumpDates" displayName="JumpDates" ref="B21:C38" totalsRowShown="0">
  <autoFilter ref="B21:C38" xr:uid="{0BD7B1FA-51DD-4EC5-A7BF-8FAE06DAAEBB}"/>
  <tableColumns count="2">
    <tableColumn id="1" xr3:uid="{A53C8077-9572-41FD-976B-25F019F3C683}" name="No"/>
    <tableColumn id="2" xr3:uid="{4871A6C8-562C-4B0C-857E-90E1F3B7463E}" name="Jump Date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39408A-A85D-41E8-90B0-D36809FA7436}" name="MarketTable" displayName="MarketTable" ref="B6:N13" totalsRowShown="0" headerRowDxfId="1">
  <tableColumns count="13">
    <tableColumn id="1" xr3:uid="{1D6F0547-84FA-4690-81AA-36FC2C347173}" name="No"/>
    <tableColumn id="2" xr3:uid="{02C123A2-B776-47C0-A27E-8C411CF6FFDA}" name="Inst. Tenor"/>
    <tableColumn id="3" xr3:uid="{33C4B525-E0A5-44CD-98C3-2E695152E44B}" name="Inst. Type"/>
    <tableColumn id="8" xr3:uid="{D4AF2ADE-6CF5-4963-8084-811425224F28}" name="Market Rate" dataDxfId="0"/>
    <tableColumn id="4" xr3:uid="{6C85A3E9-494D-42F9-B5F2-01C4E3A7022E}" name="Inst. Mty Date" dataDxfId="14"/>
    <tableColumn id="5" xr3:uid="{B321895B-048A-466A-A44C-75E5A5746EFB}" name="Mty YearFrac"/>
    <tableColumn id="6" xr3:uid="{4CFD563B-0159-4D22-BEDE-E54BBC12789E}" name="Jump Date" dataDxfId="13"/>
    <tableColumn id="7" xr3:uid="{3117A084-3C61-4578-A730-48D932391824}" name="Jump YearFrac"/>
    <tableColumn id="9" xr3:uid="{3DBD9BB6-332E-4877-9F65-B26234C5F416}" name="Solved Forward" dataDxfId="12"/>
    <tableColumn id="10" xr3:uid="{EF04250E-57DA-4F7F-A56A-03EE1F65E2A4}" name="Jump Date DCF" dataDxfId="11"/>
    <tableColumn id="11" xr3:uid="{E874BF9B-491D-40EE-95C0-DD3797E9C6EF}" name="Mty Date DCF" dataDxfId="10"/>
    <tableColumn id="12" xr3:uid="{FF6C52D0-EB4C-46D5-91ED-6420CF1E1109}" name="Jump Zero Rate" dataDxfId="9"/>
    <tableColumn id="13" xr3:uid="{1FF8A163-8984-41E8-89FF-8909A48916E4}" name="Mty Zero Rate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1591C8-F71C-4031-8F9E-0A9847A7DCA9}" name="Summary_Deposit" displayName="Summary_Deposit" ref="A1:G2" totalsRowShown="0">
  <autoFilter ref="A1:G2" xr:uid="{40E51E24-2FB3-47FC-B20A-8A571687D9F7}"/>
  <tableColumns count="7">
    <tableColumn id="1" xr3:uid="{F404191B-3D88-448C-A205-6DCC69796CE1}" name="Target Tenor">
      <calculatedColumnFormula>INDEX(MarketTable[Inst. Tenor], Summary_Deposit[[#This Row],[Target Index]])</calculatedColumnFormula>
    </tableColumn>
    <tableColumn id="2" xr3:uid="{10EE0421-369F-42FE-95FC-FAA41662FC8A}" name="Target Index"/>
    <tableColumn id="3" xr3:uid="{31402808-1E6B-4119-9F15-58822272DACB}" name="Target Date" dataDxfId="7">
      <calculatedColumnFormula>INDEX(MarketTable[Inst. Mty Date], Summary_Deposit[[#This Row],[Target Index]])</calculatedColumnFormula>
    </tableColumn>
    <tableColumn id="4" xr3:uid="{232A1042-E8EA-43BA-84CA-2F9D301FD8B9}" name="Target YearFrac">
      <calculatedColumnFormula>INDEX(MarketTable[Mty YearFrac], Summary_Deposit[[#This Row],[Target Index]])</calculatedColumnFormula>
    </tableColumn>
    <tableColumn id="5" xr3:uid="{B9AAAE72-CD9A-496B-BAE7-94B4FE2A2B31}" name="Market Rate" dataDxfId="6">
      <calculatedColumnFormula>INDEX(MarketTable[Market Rate], Summary_Deposit[[#This Row],[Target Index]])</calculatedColumnFormula>
    </tableColumn>
    <tableColumn id="6" xr3:uid="{3E283910-44E4-4A7C-A5D0-0FD0B739DC6D}" name="NPV">
      <calculatedColumnFormula>(1 + Summary_Deposit[[#This Row],[Market Rate]] * Summary_Deposit[[#This Row],[Target YearFrac]]) * LogLinearDF_Date(Summary_Deposit[[#This Row],[Target Date]], INDEX(Common[Today],1), MarketTable[Jump Date], MarketTable[Solved Forward], INDEX(Common[coupon DCB],1))</calculatedColumnFormula>
    </tableColumn>
    <tableColumn id="7" xr3:uid="{75454271-22A3-4437-B3AC-B00346138D0E}" name="NPV Error">
      <calculatedColumnFormula>Summary_Deposit[[#This Row],[NPV]] - 1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2A62F4-B6C4-46C4-91C7-B347981C87BC}" name="CalcTable_IRS" displayName="CalcTable_IRS" ref="A5:F45" totalsRowShown="0">
  <autoFilter ref="A5:F45" xr:uid="{CEF8EB21-07C0-4FF2-B243-59ECEAA2ACD8}"/>
  <tableColumns count="6">
    <tableColumn id="1" xr3:uid="{E7353E50-F458-4B34-9510-AE016703B03E}" name="No"/>
    <tableColumn id="2" xr3:uid="{9D3E3600-BBF0-47B7-B039-7BAA8CD7E10D}" name="Payment Date" dataDxfId="5"/>
    <tableColumn id="3" xr3:uid="{C0F2F171-6F46-4726-95EA-7FA6F48A1155}" name="YearFrac" dataDxfId="4"/>
    <tableColumn id="4" xr3:uid="{F9D6471B-56F3-4D03-9FC1-66B65E4E0DED}" name="Expected CashFlow"/>
    <tableColumn id="5" xr3:uid="{733E7F62-F8D6-4E70-B17E-C27640D4DB05}" name="DF"/>
    <tableColumn id="6" xr3:uid="{DE032824-BD2B-402A-8347-0CE5FEFDFB9F}" name="DC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A42EBF-A9A3-46E1-B021-D466090ECDFF}" name="Summary_IRS" displayName="Summary_IRS" ref="A1:H2" totalsRowShown="0">
  <autoFilter ref="A1:H2" xr:uid="{B29B992E-62C0-4B94-9927-DD4E5838C8F4}"/>
  <tableColumns count="8">
    <tableColumn id="1" xr3:uid="{61F64B08-961F-47C4-92B0-7CBFDA7F8CDE}" name="Target Tenor">
      <calculatedColumnFormula>INDEX(MarketTable[Inst. Tenor], Summary_IRS[[#This Row],[Target Index]])</calculatedColumnFormula>
    </tableColumn>
    <tableColumn id="2" xr3:uid="{29813D7F-EE1E-4AB0-87ED-DA0AD87E254F}" name="Target Index"/>
    <tableColumn id="3" xr3:uid="{3B417F3C-F91F-4643-B036-B4CB4B80846C}" name="Target Date" dataDxfId="3">
      <calculatedColumnFormula>INDEX(MarketTable[Inst. Mty Date], Summary_IRS[[#This Row],[Target Index]])</calculatedColumnFormula>
    </tableColumn>
    <tableColumn id="4" xr3:uid="{F3957C6C-0B79-4FC2-9D06-7361C9187B97}" name="Target YearFrac">
      <calculatedColumnFormula>INDEX(MarketTable[Mty YearFrac], Summary_IRS[[#This Row],[Target Index]])</calculatedColumnFormula>
    </tableColumn>
    <tableColumn id="5" xr3:uid="{4A2BA1D4-50AD-4581-B275-BA65B41ACDC7}" name="Market Rate" dataDxfId="2">
      <calculatedColumnFormula>INDEX(MarketTable[Market Rate], Summary_IRS[[#This Row],[Target Index]])</calculatedColumnFormula>
    </tableColumn>
    <tableColumn id="6" xr3:uid="{A3F4BB17-3DEA-465B-A770-468904330CE3}" name="NPV Fixed">
      <calculatedColumnFormula>SUMIFS(CalcTable_IRS[DCF], CalcTable_IRS[Payment Date], "&lt;=" &amp; Summary_IRS[[#This Row],[Target Date]] + 0.5)</calculatedColumnFormula>
    </tableColumn>
    <tableColumn id="7" xr3:uid="{309EE78A-C8A5-4033-8635-5CF670BE9A52}" name="NPV Floating">
      <calculatedColumnFormula>1 - LogLinearDF_Date(Summary_IRS[[#This Row],[Target Date]], INDEX(Common[Today],1), MarketTable[Jump Date], MarketTable[Solved Forward], INDEX(Common[coupon DCB],1))</calculatedColumnFormula>
    </tableColumn>
    <tableColumn id="8" xr3:uid="{698EE239-4963-4B1A-812E-B0F80B788D9A}" name="NPV Error">
      <calculatedColumnFormula>Summary_IRS[[#This Row],[NPV Fixed]] - Summary_IRS[[#This Row],[NPV Floating]]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4456F-6D25-41F7-B219-9681057A4524}">
  <sheetPr codeName="Sheet1"/>
  <dimension ref="B2:N38"/>
  <sheetViews>
    <sheetView tabSelected="1" workbookViewId="0">
      <selection activeCell="F22" sqref="F22"/>
    </sheetView>
  </sheetViews>
  <sheetFormatPr defaultRowHeight="16.5" x14ac:dyDescent="0.3"/>
  <cols>
    <col min="2" max="4" width="12.5" customWidth="1"/>
    <col min="5" max="5" width="14" customWidth="1"/>
    <col min="6" max="6" width="15.75" bestFit="1" customWidth="1"/>
    <col min="7" max="7" width="13.375" bestFit="1" customWidth="1"/>
    <col min="8" max="8" width="17.125" bestFit="1" customWidth="1"/>
    <col min="9" max="9" width="14.875" bestFit="1" customWidth="1"/>
    <col min="10" max="10" width="17.875" bestFit="1" customWidth="1"/>
    <col min="11" max="11" width="18.125" bestFit="1" customWidth="1"/>
    <col min="12" max="12" width="16.625" bestFit="1" customWidth="1"/>
    <col min="13" max="13" width="18.375" bestFit="1" customWidth="1"/>
    <col min="14" max="14" width="17" bestFit="1" customWidth="1"/>
    <col min="16" max="16" width="6.375" bestFit="1" customWidth="1"/>
    <col min="17" max="17" width="13.375" bestFit="1" customWidth="1"/>
  </cols>
  <sheetData>
    <row r="2" spans="2:14" x14ac:dyDescent="0.3">
      <c r="B2" t="s">
        <v>0</v>
      </c>
      <c r="C2" t="s">
        <v>44</v>
      </c>
      <c r="D2" t="s">
        <v>43</v>
      </c>
      <c r="E2" t="s">
        <v>45</v>
      </c>
    </row>
    <row r="3" spans="2:14" x14ac:dyDescent="0.3">
      <c r="B3" s="1">
        <v>46030</v>
      </c>
      <c r="C3" t="s">
        <v>1</v>
      </c>
      <c r="D3">
        <v>4</v>
      </c>
      <c r="E3" t="s">
        <v>52</v>
      </c>
    </row>
    <row r="6" spans="2:14" x14ac:dyDescent="0.3">
      <c r="B6" s="9" t="s">
        <v>2</v>
      </c>
      <c r="C6" s="9" t="s">
        <v>4</v>
      </c>
      <c r="D6" s="9" t="s">
        <v>50</v>
      </c>
      <c r="E6" s="9" t="s">
        <v>7</v>
      </c>
      <c r="F6" s="9" t="s">
        <v>51</v>
      </c>
      <c r="G6" s="9" t="s">
        <v>5</v>
      </c>
      <c r="H6" s="9" t="s">
        <v>3</v>
      </c>
      <c r="I6" s="9" t="s">
        <v>6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</row>
    <row r="7" spans="2:14" x14ac:dyDescent="0.3">
      <c r="B7">
        <v>1</v>
      </c>
      <c r="C7" t="s">
        <v>13</v>
      </c>
      <c r="D7" t="s">
        <v>14</v>
      </c>
      <c r="E7" s="2">
        <v>2.5000000000000001E-2</v>
      </c>
      <c r="F7" s="1">
        <f>AddTenor(INDEX(Common[Today],1), MarketTable[[#This Row],[Inst. Tenor]])</f>
        <v>46031</v>
      </c>
      <c r="G7">
        <f>CalcYF(INDEX(Common[Today],1), MarketTable[[#This Row],[Inst. Mty Date]], INDEX(Common[coupon DCB],1))</f>
        <v>2.7397260273972603E-3</v>
      </c>
      <c r="H7" s="1">
        <f>_xlfn.MINIFS(JumpDates[Jump Date], JumpDates[Jump Date], "&gt;=" &amp; MarketTable[[#This Row],[Inst. Mty Date]])</f>
        <v>46037</v>
      </c>
      <c r="I7">
        <f>CalcYF(INDEX(Common[Today],1), MarketTable[[#This Row],[Jump Date]], INDEX(Common[coupon DCB],1))</f>
        <v>1.9178082191780823E-2</v>
      </c>
      <c r="J7" s="2">
        <v>2.4999143874701493E-2</v>
      </c>
      <c r="K7" s="3">
        <f ca="1">LogLinearDF_Date(MarketTable[[#This Row],[Jump Date]], INDEX(Common[Today],1), MarketTable[Jump Date], MarketTable[Solved Forward], INDEX(Common[coupon DCB],1))</f>
        <v>0.99952067927494648</v>
      </c>
      <c r="L7" s="3">
        <f ca="1">LogLinearDF_Date(MarketTable[[#This Row],[Inst. Mty Date]], INDEX(Common[Today],1), MarketTable[Jump Date], MarketTable[Solved Forward], INDEX(Common[coupon DCB],1))</f>
        <v>0.99993151154030546</v>
      </c>
      <c r="M7" s="2">
        <f ca="1">IF(MarketTable[[#This Row],[Jump YearFrac]]&gt;0, -LN(MarketTable[[#This Row],[Jump Date DCF]])/MarketTable[[#This Row],[Jump YearFrac]], 0)</f>
        <v>2.4999143874701164E-2</v>
      </c>
      <c r="N7" s="2">
        <f ca="1">IF(MarketTable[[#This Row],[Mty YearFrac]]&gt;0, -LN(MarketTable[[#This Row],[Mty Date DCF]])/MarketTable[[#This Row],[Mty YearFrac]], 0)</f>
        <v>2.4999143874707377E-2</v>
      </c>
    </row>
    <row r="8" spans="2:14" x14ac:dyDescent="0.3">
      <c r="B8">
        <v>2</v>
      </c>
      <c r="C8" t="s">
        <v>15</v>
      </c>
      <c r="D8" t="s">
        <v>14</v>
      </c>
      <c r="E8" s="2">
        <v>2.7E-2</v>
      </c>
      <c r="F8" s="1">
        <f>AddTenor(INDEX(Common[Today],1), MarketTable[[#This Row],[Inst. Tenor]])</f>
        <v>46120</v>
      </c>
      <c r="G8">
        <f>CalcYF(INDEX(Common[Today],1), MarketTable[[#This Row],[Inst. Mty Date]], INDEX(Common[coupon DCB],1))</f>
        <v>0.24657534246575341</v>
      </c>
      <c r="H8" s="1">
        <f>_xlfn.MINIFS(JumpDates[Jump Date], JumpDates[Jump Date], "&gt;=" &amp; MarketTable[[#This Row],[Inst. Mty Date]])</f>
        <v>46122</v>
      </c>
      <c r="I8">
        <f>CalcYF(INDEX(Common[Today],1), MarketTable[[#This Row],[Jump Date]], INDEX(Common[coupon DCB],1))</f>
        <v>0.25205479452054796</v>
      </c>
      <c r="J8" s="2">
        <v>2.7071720625217999E-2</v>
      </c>
      <c r="K8" s="3">
        <f ca="1">LogLinearDF_Date(MarketTable[[#This Row],[Jump Date]], INDEX(Common[Today],1), MarketTable[Jump Date], MarketTable[Solved Forward], INDEX(Common[coupon DCB],1))</f>
        <v>0.99323914915581524</v>
      </c>
      <c r="L8" s="3">
        <f ca="1">LogLinearDF_Date(MarketTable[[#This Row],[Inst. Mty Date]], INDEX(Common[Today],1), MarketTable[Jump Date], MarketTable[Solved Forward], INDEX(Common[coupon DCB],1))</f>
        <v>0.99338649538687651</v>
      </c>
      <c r="M8" s="2">
        <f ca="1">IF(MarketTable[[#This Row],[Jump YearFrac]]&gt;0, -LN(MarketTable[[#This Row],[Jump Date DCF]])/MarketTable[[#This Row],[Jump YearFrac]], 0)</f>
        <v>2.6914024568113638E-2</v>
      </c>
      <c r="N8" s="2">
        <f ca="1">IF(MarketTable[[#This Row],[Mty YearFrac]]&gt;0, -LN(MarketTable[[#This Row],[Mty Date DCF]])/MarketTable[[#This Row],[Mty YearFrac]], 0)</f>
        <v>2.6910520211288768E-2</v>
      </c>
    </row>
    <row r="9" spans="2:14" x14ac:dyDescent="0.3">
      <c r="B9">
        <v>3</v>
      </c>
      <c r="C9" t="s">
        <v>46</v>
      </c>
      <c r="D9" t="s">
        <v>16</v>
      </c>
      <c r="E9" s="2">
        <v>2.7050000000000001E-2</v>
      </c>
      <c r="F9" s="1">
        <f>AddTenor(INDEX(Common[Today],1), MarketTable[[#This Row],[Inst. Tenor]])</f>
        <v>46211</v>
      </c>
      <c r="G9">
        <f>CalcYF(INDEX(Common[Today],1), MarketTable[[#This Row],[Inst. Mty Date]], INDEX(Common[coupon DCB],1))</f>
        <v>0.49589041095890413</v>
      </c>
      <c r="H9" s="1">
        <f>_xlfn.MINIFS(JumpDates[Jump Date], JumpDates[Jump Date], "&gt;=" &amp; MarketTable[[#This Row],[Inst. Mty Date]])</f>
        <v>46219</v>
      </c>
      <c r="I9">
        <f>CalcYF(INDEX(Common[Today],1), MarketTable[[#This Row],[Jump Date]], INDEX(Common[coupon DCB],1))</f>
        <v>0.51780821917808217</v>
      </c>
      <c r="J9" s="7">
        <v>2.7007229034533901E-2</v>
      </c>
      <c r="K9" s="3">
        <f ca="1">LogLinearDF_Date(MarketTable[[#This Row],[Jump Date]], INDEX(Common[Today],1), MarketTable[Jump Date], MarketTable[Solved Forward], INDEX(Common[coupon DCB],1))</f>
        <v>0.9861359312840291</v>
      </c>
      <c r="L9" s="8">
        <f ca="1">LogLinearDF_Date(MarketTable[[#This Row],[Inst. Mty Date]], INDEX(Common[Today],1), MarketTable[Jump Date], MarketTable[Solved Forward], INDEX(Common[coupon DCB],1))</f>
        <v>0.98671983666508467</v>
      </c>
      <c r="M9" s="2">
        <f ca="1">IF(MarketTable[[#This Row],[Jump YearFrac]]&gt;0, -LN(MarketTable[[#This Row],[Jump Date DCF]])/MarketTable[[#This Row],[Jump YearFrac]], 0)</f>
        <v>2.6961859664636059E-2</v>
      </c>
      <c r="N9" s="2">
        <f ca="1">IF(MarketTable[[#This Row],[Mty YearFrac]]&gt;0, -LN(MarketTable[[#This Row],[Mty Date DCF]])/MarketTable[[#This Row],[Mty YearFrac]], 0)</f>
        <v>2.6959854388618504E-2</v>
      </c>
    </row>
    <row r="10" spans="2:14" x14ac:dyDescent="0.3">
      <c r="B10">
        <v>4</v>
      </c>
      <c r="C10" t="s">
        <v>47</v>
      </c>
      <c r="D10" t="s">
        <v>16</v>
      </c>
      <c r="E10" s="2">
        <v>2.7125E-2</v>
      </c>
      <c r="F10" s="1">
        <f>AddTenor(INDEX(Common[Today],1), MarketTable[[#This Row],[Inst. Tenor]])</f>
        <v>46303</v>
      </c>
      <c r="G10">
        <f>CalcYF(INDEX(Common[Today],1), MarketTable[[#This Row],[Inst. Mty Date]], INDEX(Common[coupon DCB],1))</f>
        <v>0.74794520547945209</v>
      </c>
      <c r="H10" s="1">
        <f>_xlfn.MINIFS(JumpDates[Jump Date], JumpDates[Jump Date], "&gt;=" &amp; MarketTable[[#This Row],[Inst. Mty Date]])</f>
        <v>46317</v>
      </c>
      <c r="I10">
        <f>CalcYF(INDEX(Common[Today],1), MarketTable[[#This Row],[Jump Date]], INDEX(Common[coupon DCB],1))</f>
        <v>0.78630136986301369</v>
      </c>
      <c r="J10" s="2">
        <v>2.7197272416973266E-2</v>
      </c>
      <c r="K10" s="3">
        <f ca="1">LogLinearDF_Date(MarketTable[[#This Row],[Jump Date]], INDEX(Common[Today],1), MarketTable[Jump Date], MarketTable[Solved Forward], INDEX(Common[coupon DCB],1))</f>
        <v>0.97896111739026137</v>
      </c>
      <c r="L10" s="3">
        <f ca="1">LogLinearDF_Date(MarketTable[[#This Row],[Inst. Mty Date]], INDEX(Common[Today],1), MarketTable[Jump Date], MarketTable[Solved Forward], INDEX(Common[coupon DCB],1))</f>
        <v>0.97998288588923843</v>
      </c>
      <c r="M10" s="2">
        <f ca="1">IF(MarketTable[[#This Row],[Jump YearFrac]]&gt;0, -LN(MarketTable[[#This Row],[Jump Date DCF]])/MarketTable[[#This Row],[Jump YearFrac]], 0)</f>
        <v>2.7042244506897545E-2</v>
      </c>
      <c r="N10" s="2">
        <f ca="1">IF(MarketTable[[#This Row],[Mty YearFrac]]&gt;0, -LN(MarketTable[[#This Row],[Mty Date DCF]])/MarketTable[[#This Row],[Mty YearFrac]], 0)</f>
        <v>2.7034294357662865E-2</v>
      </c>
    </row>
    <row r="11" spans="2:14" x14ac:dyDescent="0.3">
      <c r="B11">
        <v>5</v>
      </c>
      <c r="C11" t="s">
        <v>48</v>
      </c>
      <c r="D11" t="s">
        <v>16</v>
      </c>
      <c r="E11" s="2">
        <v>2.7349999999999999E-2</v>
      </c>
      <c r="F11" s="1">
        <f>AddTenor(INDEX(Common[Today],1), MarketTable[[#This Row],[Inst. Tenor]])</f>
        <v>46395</v>
      </c>
      <c r="G11">
        <f>CalcYF(INDEX(Common[Today],1), MarketTable[[#This Row],[Inst. Mty Date]], INDEX(Common[coupon DCB],1))</f>
        <v>1</v>
      </c>
      <c r="H11" s="1">
        <f>_xlfn.MINIFS(JumpDates[Jump Date], JumpDates[Jump Date], "&gt;=" &amp; MarketTable[[#This Row],[Inst. Mty Date]])</f>
        <v>46401</v>
      </c>
      <c r="I11">
        <f>CalcYF(INDEX(Common[Today],1), MarketTable[[#This Row],[Jump Date]], INDEX(Common[coupon DCB],1))</f>
        <v>1.0164383561643835</v>
      </c>
      <c r="J11" s="2">
        <v>2.8059651815419431E-2</v>
      </c>
      <c r="K11" s="3">
        <f ca="1">LogLinearDF_Date(MarketTable[[#This Row],[Jump Date]], INDEX(Common[Today],1), MarketTable[Jump Date], MarketTable[Solved Forward], INDEX(Common[coupon DCB],1))</f>
        <v>0.97265978114684581</v>
      </c>
      <c r="L11" s="3">
        <f ca="1">LogLinearDF_Date(MarketTable[[#This Row],[Inst. Mty Date]], INDEX(Common[Today],1), MarketTable[Jump Date], MarketTable[Solved Forward], INDEX(Common[coupon DCB],1))</f>
        <v>0.97310852838227768</v>
      </c>
      <c r="M11" s="2">
        <f ca="1">IF(MarketTable[[#This Row],[Jump YearFrac]]&gt;0, -LN(MarketTable[[#This Row],[Jump Date DCF]])/MarketTable[[#This Row],[Jump YearFrac]], 0)</f>
        <v>2.7272600878638417E-2</v>
      </c>
      <c r="N11" s="2">
        <f ca="1">IF(MarketTable[[#This Row],[Mty YearFrac]]&gt;0, -LN(MarketTable[[#This Row],[Mty Date DCF]])/MarketTable[[#This Row],[Mty YearFrac]], 0)</f>
        <v>2.7259663055020027E-2</v>
      </c>
    </row>
    <row r="12" spans="2:14" x14ac:dyDescent="0.3">
      <c r="B12">
        <v>6</v>
      </c>
      <c r="C12" t="s">
        <v>17</v>
      </c>
      <c r="D12" t="s">
        <v>16</v>
      </c>
      <c r="E12" s="2">
        <v>2.8025000000000001E-2</v>
      </c>
      <c r="F12" s="1">
        <f>AddTenor(INDEX(Common[Today],1), MarketTable[[#This Row],[Inst. Tenor]])</f>
        <v>46576</v>
      </c>
      <c r="G12">
        <f>CalcYF(INDEX(Common[Today],1), MarketTable[[#This Row],[Inst. Mty Date]], INDEX(Common[coupon DCB],1))</f>
        <v>1.4958904109589042</v>
      </c>
      <c r="H12" s="1">
        <f>_xlfn.MINIFS(JumpDates[Jump Date], JumpDates[Jump Date], "&gt;=" &amp; MarketTable[[#This Row],[Inst. Mty Date]])</f>
        <v>46583</v>
      </c>
      <c r="I12">
        <f>CalcYF(INDEX(Common[Today],1), MarketTable[[#This Row],[Jump Date]], INDEX(Common[coupon DCB],1))</f>
        <v>1.515068493150685</v>
      </c>
      <c r="J12" s="2">
        <v>2.9351642305371399E-2</v>
      </c>
      <c r="K12" s="3">
        <f ca="1">LogLinearDF_Date(MarketTable[[#This Row],[Jump Date]], INDEX(Common[Today],1), MarketTable[Jump Date], MarketTable[Solved Forward], INDEX(Common[coupon DCB],1))</f>
        <v>0.95852797467884976</v>
      </c>
      <c r="L12" s="3">
        <f ca="1">LogLinearDF_Date(MarketTable[[#This Row],[Inst. Mty Date]], INDEX(Common[Today],1), MarketTable[Jump Date], MarketTable[Solved Forward], INDEX(Common[coupon DCB],1))</f>
        <v>0.95906768983475987</v>
      </c>
      <c r="M12" s="2">
        <f ca="1">IF(MarketTable[[#This Row],[Jump YearFrac]]&gt;0, -LN(MarketTable[[#This Row],[Jump Date DCF]])/MarketTable[[#This Row],[Jump YearFrac]], 0)</f>
        <v>2.7956842360854314E-2</v>
      </c>
      <c r="N12" s="2">
        <f ca="1">IF(MarketTable[[#This Row],[Mty YearFrac]]&gt;0, -LN(MarketTable[[#This Row],[Mty Date DCF]])/MarketTable[[#This Row],[Mty YearFrac]], 0)</f>
        <v>2.7938960310283593E-2</v>
      </c>
    </row>
    <row r="13" spans="2:14" x14ac:dyDescent="0.3">
      <c r="B13">
        <v>7</v>
      </c>
      <c r="C13" t="s">
        <v>49</v>
      </c>
      <c r="D13" t="s">
        <v>16</v>
      </c>
      <c r="E13" s="2">
        <v>2.8924999999999999E-2</v>
      </c>
      <c r="F13" s="1">
        <f>AddTenor(INDEX(Common[Today],1), MarketTable[[#This Row],[Inst. Tenor]])</f>
        <v>46760</v>
      </c>
      <c r="G13">
        <f>CalcYF(INDEX(Common[Today],1), MarketTable[[#This Row],[Inst. Mty Date]], INDEX(Common[coupon DCB],1))</f>
        <v>2</v>
      </c>
      <c r="H13" s="1">
        <f>_xlfn.MINIFS(JumpDates[Jump Date], JumpDates[Jump Date], "&gt;=" &amp; MarketTable[[#This Row],[Inst. Mty Date]])</f>
        <v>46767</v>
      </c>
      <c r="I13">
        <f>CalcYF(INDEX(Common[Today],1), MarketTable[[#This Row],[Jump Date]], INDEX(Common[coupon DCB],1))</f>
        <v>2.0191780821917806</v>
      </c>
      <c r="J13" s="2">
        <v>3.1637988243691205E-2</v>
      </c>
      <c r="K13" s="3">
        <f ca="1">LogLinearDF_Date(MarketTable[[#This Row],[Jump Date]], INDEX(Common[Today],1), MarketTable[Jump Date], MarketTable[Solved Forward], INDEX(Common[coupon DCB],1))</f>
        <v>0.94336166463636473</v>
      </c>
      <c r="L13" s="3">
        <f ca="1">LogLinearDF_Date(MarketTable[[#This Row],[Inst. Mty Date]], INDEX(Common[Today],1), MarketTable[Jump Date], MarketTable[Solved Forward], INDEX(Common[coupon DCB],1))</f>
        <v>0.94393422861466358</v>
      </c>
      <c r="M13" s="2">
        <f ca="1">IF(MarketTable[[#This Row],[Jump YearFrac]]&gt;0, -LN(MarketTable[[#This Row],[Jump Date DCF]])/MarketTable[[#This Row],[Jump YearFrac]], 0)</f>
        <v>2.887588013893027E-2</v>
      </c>
      <c r="N13" s="2">
        <f ca="1">IF(MarketTable[[#This Row],[Mty YearFrac]]&gt;0, -LN(MarketTable[[#This Row],[Mty Date DCF]])/MarketTable[[#This Row],[Mty YearFrac]], 0)</f>
        <v>2.8849394170802435E-2</v>
      </c>
    </row>
    <row r="21" spans="2:3" x14ac:dyDescent="0.3">
      <c r="B21" t="s">
        <v>2</v>
      </c>
      <c r="C21" t="s">
        <v>3</v>
      </c>
    </row>
    <row r="22" spans="2:3" x14ac:dyDescent="0.3">
      <c r="B22">
        <v>1</v>
      </c>
      <c r="C22" s="1">
        <v>46037</v>
      </c>
    </row>
    <row r="23" spans="2:3" x14ac:dyDescent="0.3">
      <c r="B23">
        <v>2</v>
      </c>
      <c r="C23" s="1">
        <v>46079</v>
      </c>
    </row>
    <row r="24" spans="2:3" x14ac:dyDescent="0.3">
      <c r="B24">
        <v>3</v>
      </c>
      <c r="C24" s="1">
        <v>46122</v>
      </c>
    </row>
    <row r="25" spans="2:3" x14ac:dyDescent="0.3">
      <c r="B25">
        <v>4</v>
      </c>
      <c r="C25" s="1">
        <v>46170</v>
      </c>
    </row>
    <row r="26" spans="2:3" x14ac:dyDescent="0.3">
      <c r="B26">
        <v>5</v>
      </c>
      <c r="C26" s="1">
        <v>46219</v>
      </c>
    </row>
    <row r="27" spans="2:3" x14ac:dyDescent="0.3">
      <c r="B27">
        <v>6</v>
      </c>
      <c r="C27" s="1">
        <v>46261</v>
      </c>
    </row>
    <row r="28" spans="2:3" x14ac:dyDescent="0.3">
      <c r="B28">
        <v>7</v>
      </c>
      <c r="C28" s="1">
        <v>46317</v>
      </c>
    </row>
    <row r="29" spans="2:3" x14ac:dyDescent="0.3">
      <c r="B29">
        <v>8</v>
      </c>
      <c r="C29" s="1">
        <v>46352</v>
      </c>
    </row>
    <row r="30" spans="2:3" x14ac:dyDescent="0.3">
      <c r="B30">
        <v>9</v>
      </c>
      <c r="C30" s="1">
        <v>46401</v>
      </c>
    </row>
    <row r="31" spans="2:3" x14ac:dyDescent="0.3">
      <c r="B31">
        <v>10</v>
      </c>
      <c r="C31" s="1">
        <v>46443</v>
      </c>
    </row>
    <row r="32" spans="2:3" x14ac:dyDescent="0.3">
      <c r="B32">
        <v>11</v>
      </c>
      <c r="C32" s="1">
        <v>46492</v>
      </c>
    </row>
    <row r="33" spans="2:3" x14ac:dyDescent="0.3">
      <c r="B33">
        <v>12</v>
      </c>
      <c r="C33" s="1">
        <v>46534</v>
      </c>
    </row>
    <row r="34" spans="2:3" x14ac:dyDescent="0.3">
      <c r="B34">
        <v>13</v>
      </c>
      <c r="C34" s="1">
        <v>46583</v>
      </c>
    </row>
    <row r="35" spans="2:3" x14ac:dyDescent="0.3">
      <c r="B35">
        <v>14</v>
      </c>
      <c r="C35" s="1">
        <v>46625</v>
      </c>
    </row>
    <row r="36" spans="2:3" x14ac:dyDescent="0.3">
      <c r="B36">
        <v>15</v>
      </c>
      <c r="C36" s="1">
        <v>46681</v>
      </c>
    </row>
    <row r="37" spans="2:3" x14ac:dyDescent="0.3">
      <c r="B37">
        <v>16</v>
      </c>
      <c r="C37" s="1">
        <v>46716</v>
      </c>
    </row>
    <row r="38" spans="2:3" x14ac:dyDescent="0.3">
      <c r="B38">
        <v>17</v>
      </c>
      <c r="C38" s="1">
        <v>46767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10</xdr:col>
                    <xdr:colOff>666750</xdr:colOff>
                    <xdr:row>1</xdr:row>
                    <xdr:rowOff>95250</xdr:rowOff>
                  </from>
                  <to>
                    <xdr:col>11</xdr:col>
                    <xdr:colOff>1000125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BF2E2-A966-48B5-89E5-632CDDDAC545}">
  <sheetPr codeName="Sheet2"/>
  <dimension ref="A1:G2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5" bestFit="1" customWidth="1"/>
    <col min="4" max="4" width="18.25" bestFit="1" customWidth="1"/>
    <col min="5" max="5" width="14.875" bestFit="1" customWidth="1"/>
    <col min="6" max="6" width="12.75" bestFit="1" customWidth="1"/>
    <col min="7" max="7" width="13.125" bestFit="1" customWidth="1"/>
  </cols>
  <sheetData>
    <row r="1" spans="1:7" x14ac:dyDescent="0.3">
      <c r="A1" t="s">
        <v>18</v>
      </c>
      <c r="B1" t="s">
        <v>19</v>
      </c>
      <c r="C1" t="s">
        <v>20</v>
      </c>
      <c r="D1" t="s">
        <v>21</v>
      </c>
      <c r="E1" t="s">
        <v>7</v>
      </c>
      <c r="F1" t="s">
        <v>22</v>
      </c>
      <c r="G1" t="s">
        <v>23</v>
      </c>
    </row>
    <row r="2" spans="1:7" x14ac:dyDescent="0.3">
      <c r="A2" t="str">
        <f>INDEX(MarketTable[Inst. Tenor], Summary_Deposit[[#This Row],[Target Index]])</f>
        <v>3M</v>
      </c>
      <c r="B2">
        <v>2</v>
      </c>
      <c r="C2" s="1">
        <f>INDEX(MarketTable[Inst. Mty Date], Summary_Deposit[[#This Row],[Target Index]])</f>
        <v>46120</v>
      </c>
      <c r="D2">
        <f>INDEX(MarketTable[Mty YearFrac], Summary_Deposit[[#This Row],[Target Index]])</f>
        <v>0.24657534246575341</v>
      </c>
      <c r="E2" s="2">
        <f>INDEX(MarketTable[Market Rate], Summary_Deposit[[#This Row],[Target Index]])</f>
        <v>2.7E-2</v>
      </c>
      <c r="F2">
        <f ca="1">(1 + Summary_Deposit[[#This Row],[Market Rate]] * Summary_Deposit[[#This Row],[Target YearFrac]]) * LogLinearDF_Date(Summary_Deposit[[#This Row],[Target Date]], INDEX(Common[Today],1), MarketTable[Jump Date], MarketTable[Solved Forward], INDEX(Common[coupon DCB],1))</f>
        <v>1</v>
      </c>
      <c r="G2">
        <f ca="1">Summary_Deposit[[#This Row],[NPV]] - 1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37281-A890-4CC8-AE97-AA10F73AB0CB}">
  <sheetPr codeName="Sheet3"/>
  <dimension ref="A1:H45"/>
  <sheetViews>
    <sheetView workbookViewId="0">
      <selection activeCell="D7" sqref="D7"/>
    </sheetView>
  </sheetViews>
  <sheetFormatPr defaultRowHeight="16.5" x14ac:dyDescent="0.3"/>
  <cols>
    <col min="1" max="1" width="15.625" bestFit="1" customWidth="1"/>
    <col min="2" max="2" width="16.625" bestFit="1" customWidth="1"/>
    <col min="3" max="3" width="14.5" bestFit="1" customWidth="1"/>
    <col min="4" max="4" width="21.5" bestFit="1" customWidth="1"/>
    <col min="5" max="5" width="14.875" bestFit="1" customWidth="1"/>
    <col min="6" max="6" width="12.875" bestFit="1" customWidth="1"/>
    <col min="7" max="7" width="15.75" bestFit="1" customWidth="1"/>
    <col min="8" max="8" width="12.75" bestFit="1" customWidth="1"/>
  </cols>
  <sheetData>
    <row r="1" spans="1:8" x14ac:dyDescent="0.3">
      <c r="A1" t="s">
        <v>18</v>
      </c>
      <c r="B1" t="s">
        <v>19</v>
      </c>
      <c r="C1" t="s">
        <v>20</v>
      </c>
      <c r="D1" t="s">
        <v>21</v>
      </c>
      <c r="E1" t="s">
        <v>7</v>
      </c>
      <c r="F1" t="s">
        <v>29</v>
      </c>
      <c r="G1" t="s">
        <v>30</v>
      </c>
      <c r="H1" t="s">
        <v>23</v>
      </c>
    </row>
    <row r="2" spans="1:8" x14ac:dyDescent="0.3">
      <c r="A2" t="str">
        <f>INDEX(MarketTable[Inst. Tenor], Summary_IRS[[#This Row],[Target Index]])</f>
        <v>3M</v>
      </c>
      <c r="B2">
        <v>2</v>
      </c>
      <c r="C2" s="1">
        <f>INDEX(MarketTable[Inst. Mty Date], Summary_IRS[[#This Row],[Target Index]])</f>
        <v>46120</v>
      </c>
      <c r="D2">
        <f>INDEX(MarketTable[Mty YearFrac], Summary_IRS[[#This Row],[Target Index]])</f>
        <v>0.24657534246575341</v>
      </c>
      <c r="E2" s="2">
        <f>INDEX(MarketTable[Market Rate], Summary_IRS[[#This Row],[Target Index]])</f>
        <v>2.7E-2</v>
      </c>
      <c r="F2">
        <f ca="1">SUMIFS(CalcTable_IRS[DCF], CalcTable_IRS[Payment Date], "&lt;=" &amp; Summary_IRS[[#This Row],[Target Date]] + 0.5)</f>
        <v>6.6135046131235884E-3</v>
      </c>
      <c r="G2">
        <f ca="1">1 - LogLinearDF_Date(Summary_IRS[[#This Row],[Target Date]], INDEX(Common[Today],1), MarketTable[Jump Date], MarketTable[Solved Forward], INDEX(Common[coupon DCB],1))</f>
        <v>6.6135046131234887E-3</v>
      </c>
      <c r="H2">
        <f ca="1">Summary_IRS[[#This Row],[NPV Fixed]] - Summary_IRS[[#This Row],[NPV Floating]]</f>
        <v>9.9746599868666408E-17</v>
      </c>
    </row>
    <row r="5" spans="1:8" x14ac:dyDescent="0.3">
      <c r="A5" t="s">
        <v>2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</row>
    <row r="6" spans="1:8" x14ac:dyDescent="0.3">
      <c r="A6">
        <v>1</v>
      </c>
      <c r="B6" s="1">
        <v>46120</v>
      </c>
      <c r="C6" s="5">
        <f>CalcYF(INDEX(Common[Today],1), CalcTable_IRS[[#This Row],[Payment Date]], INDEX(Common[coupon DCB],1))</f>
        <v>0.24657534246575341</v>
      </c>
      <c r="D6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6">
        <f ca="1">LogLinearDF_Date(CalcTable_IRS[[#This Row],[Payment Date]], INDEX(Common[Today],1), MarketTable[Jump Date], MarketTable[Solved Forward], INDEX(Common[coupon DCB],1))</f>
        <v>0.99338649538687651</v>
      </c>
      <c r="F6">
        <f ca="1">CalcTable_IRS[[#This Row],[Expected CashFlow]] * CalcTable_IRS[[#This Row],[DF]]</f>
        <v>6.6135046131235884E-3</v>
      </c>
    </row>
    <row r="7" spans="1:8" x14ac:dyDescent="0.3">
      <c r="A7">
        <v>2</v>
      </c>
      <c r="B7" s="1">
        <v>46211</v>
      </c>
      <c r="C7" s="5">
        <f>CalcYF(INDEX(Common[Today],1), CalcTable_IRS[[#This Row],[Payment Date]], INDEX(Common[coupon DCB],1))</f>
        <v>0.49589041095890413</v>
      </c>
      <c r="D7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7">
        <f ca="1">LogLinearDF_Date(CalcTable_IRS[[#This Row],[Payment Date]], INDEX(Common[Today],1), MarketTable[Jump Date], MarketTable[Solved Forward], INDEX(Common[coupon DCB],1))</f>
        <v>0.98671983666508467</v>
      </c>
      <c r="F7">
        <f ca="1">CalcTable_IRS[[#This Row],[Expected CashFlow]] * CalcTable_IRS[[#This Row],[DF]]</f>
        <v>6.6421113388660637E-3</v>
      </c>
    </row>
    <row r="8" spans="1:8" x14ac:dyDescent="0.3">
      <c r="A8">
        <v>3</v>
      </c>
      <c r="B8" s="1">
        <v>46303</v>
      </c>
      <c r="C8" s="6">
        <f>CalcYF(INDEX(Common[Today],1), CalcTable_IRS[[#This Row],[Payment Date]], INDEX(Common[coupon DCB],1))</f>
        <v>0.74794520547945209</v>
      </c>
      <c r="D8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8">
        <f ca="1">LogLinearDF_Date(CalcTable_IRS[[#This Row],[Payment Date]], INDEX(Common[Today],1), MarketTable[Jump Date], MarketTable[Solved Forward], INDEX(Common[coupon DCB],1))</f>
        <v>0.97998288588923843</v>
      </c>
      <c r="F8">
        <f ca="1">CalcTable_IRS[[#This Row],[Expected CashFlow]] * CalcTable_IRS[[#This Row],[DF]]</f>
        <v>6.6692533932845716E-3</v>
      </c>
    </row>
    <row r="9" spans="1:8" x14ac:dyDescent="0.3">
      <c r="A9">
        <v>4</v>
      </c>
      <c r="B9" s="1">
        <v>46395</v>
      </c>
      <c r="C9" s="6">
        <f>CalcYF(INDEX(Common[Today],1), CalcTable_IRS[[#This Row],[Payment Date]], INDEX(Common[coupon DCB],1))</f>
        <v>1</v>
      </c>
      <c r="D9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9">
        <f ca="1">LogLinearDF_Date(CalcTable_IRS[[#This Row],[Payment Date]], INDEX(Common[Today],1), MarketTable[Jump Date], MarketTable[Solved Forward], INDEX(Common[coupon DCB],1))</f>
        <v>0.97310852838227768</v>
      </c>
      <c r="F9">
        <f ca="1">CalcTable_IRS[[#This Row],[Expected CashFlow]] * CalcTable_IRS[[#This Row],[DF]]</f>
        <v>6.6224700945248715E-3</v>
      </c>
    </row>
    <row r="10" spans="1:8" x14ac:dyDescent="0.3">
      <c r="A10">
        <v>5</v>
      </c>
      <c r="B10" s="1">
        <v>46485</v>
      </c>
      <c r="C10" s="6">
        <f>CalcYF(INDEX(Common[Today],1), CalcTable_IRS[[#This Row],[Payment Date]], INDEX(Common[coupon DCB],1))</f>
        <v>1.2465753424657535</v>
      </c>
      <c r="D10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10">
        <f ca="1">LogLinearDF_Date(CalcTable_IRS[[#This Row],[Payment Date]], INDEX(Common[Today],1), MarketTable[Jump Date], MarketTable[Solved Forward], INDEX(Common[coupon DCB],1))</f>
        <v>0.96611170374453148</v>
      </c>
      <c r="F10">
        <f ca="1">CalcTable_IRS[[#This Row],[Expected CashFlow]] * CalcTable_IRS[[#This Row],[DF]]</f>
        <v>6.43192175369647E-3</v>
      </c>
    </row>
    <row r="11" spans="1:8" x14ac:dyDescent="0.3">
      <c r="A11">
        <v>6</v>
      </c>
      <c r="B11" s="1">
        <v>46576</v>
      </c>
      <c r="C11" s="6">
        <f>CalcYF(INDEX(Common[Today],1), CalcTable_IRS[[#This Row],[Payment Date]], INDEX(Common[coupon DCB],1))</f>
        <v>1.4958904109589042</v>
      </c>
      <c r="D11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11">
        <f ca="1">LogLinearDF_Date(CalcTable_IRS[[#This Row],[Payment Date]], INDEX(Common[Today],1), MarketTable[Jump Date], MarketTable[Solved Forward], INDEX(Common[coupon DCB],1))</f>
        <v>0.95906768983475987</v>
      </c>
      <c r="F11">
        <f ca="1">CalcTable_IRS[[#This Row],[Expected CashFlow]] * CalcTable_IRS[[#This Row],[DF]]</f>
        <v>6.4559707230794662E-3</v>
      </c>
    </row>
    <row r="12" spans="1:8" x14ac:dyDescent="0.3">
      <c r="A12">
        <v>7</v>
      </c>
      <c r="B12" s="1">
        <v>46668</v>
      </c>
      <c r="C12" s="6">
        <f>CalcYF(INDEX(Common[Today],1), CalcTable_IRS[[#This Row],[Payment Date]], INDEX(Common[coupon DCB],1))</f>
        <v>1.747945205479452</v>
      </c>
      <c r="D12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12">
        <f ca="1">LogLinearDF_Date(CalcTable_IRS[[#This Row],[Payment Date]], INDEX(Common[Today],1), MarketTable[Jump Date], MarketTable[Solved Forward], INDEX(Common[coupon DCB],1))</f>
        <v>0.95149173200534587</v>
      </c>
      <c r="F12">
        <f ca="1">CalcTable_IRS[[#This Row],[Expected CashFlow]] * CalcTable_IRS[[#This Row],[DF]]</f>
        <v>6.4753574309624091E-3</v>
      </c>
    </row>
    <row r="13" spans="1:8" x14ac:dyDescent="0.3">
      <c r="A13">
        <v>8</v>
      </c>
      <c r="B13" s="1">
        <v>46760</v>
      </c>
      <c r="C13" s="6">
        <f>CalcYF(INDEX(Common[Today],1), CalcTable_IRS[[#This Row],[Payment Date]], INDEX(Common[coupon DCB],1))</f>
        <v>2</v>
      </c>
      <c r="D13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13">
        <f ca="1">LogLinearDF_Date(CalcTable_IRS[[#This Row],[Payment Date]], INDEX(Common[Today],1), MarketTable[Jump Date], MarketTable[Solved Forward], INDEX(Common[coupon DCB],1))</f>
        <v>0.94393422861466358</v>
      </c>
      <c r="F13">
        <f ca="1">CalcTable_IRS[[#This Row],[Expected CashFlow]] * CalcTable_IRS[[#This Row],[DF]]</f>
        <v>6.4239249969282866E-3</v>
      </c>
    </row>
    <row r="14" spans="1:8" x14ac:dyDescent="0.3">
      <c r="A14">
        <v>9</v>
      </c>
      <c r="B14" s="1">
        <v>46851</v>
      </c>
      <c r="C14" s="6">
        <f>CalcYF(INDEX(Common[Today],1), CalcTable_IRS[[#This Row],[Payment Date]], INDEX(Common[coupon DCB],1))</f>
        <v>2.2493150684931509</v>
      </c>
      <c r="D14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14">
        <f ca="1">LogLinearDF_Date(CalcTable_IRS[[#This Row],[Payment Date]], INDEX(Common[Today],1), MarketTable[Jump Date], MarketTable[Solved Forward], INDEX(Common[coupon DCB],1))</f>
        <v>0.93651792623354291</v>
      </c>
      <c r="F14">
        <f ca="1">CalcTable_IRS[[#This Row],[Expected CashFlow]] * CalcTable_IRS[[#This Row],[DF]]</f>
        <v>6.3041768349474383E-3</v>
      </c>
    </row>
    <row r="15" spans="1:8" x14ac:dyDescent="0.3">
      <c r="A15">
        <v>10</v>
      </c>
      <c r="B15" s="1">
        <v>46942</v>
      </c>
      <c r="C15" s="6">
        <f>CalcYF(INDEX(Common[Today],1), CalcTable_IRS[[#This Row],[Payment Date]], INDEX(Common[coupon DCB],1))</f>
        <v>2.4986301369863013</v>
      </c>
      <c r="D15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15">
        <f ca="1">LogLinearDF_Date(CalcTable_IRS[[#This Row],[Payment Date]], INDEX(Common[Today],1), MarketTable[Jump Date], MarketTable[Solved Forward], INDEX(Common[coupon DCB],1))</f>
        <v>0.92915989225644957</v>
      </c>
      <c r="F15">
        <f ca="1">CalcTable_IRS[[#This Row],[Expected CashFlow]] * CalcTable_IRS[[#This Row],[DF]]</f>
        <v>6.2546461788331419E-3</v>
      </c>
    </row>
    <row r="16" spans="1:8" x14ac:dyDescent="0.3">
      <c r="A16">
        <v>11</v>
      </c>
      <c r="B16" s="1">
        <v>47034</v>
      </c>
      <c r="C16" s="6">
        <f>CalcYF(INDEX(Common[Today],1), CalcTable_IRS[[#This Row],[Payment Date]], INDEX(Common[coupon DCB],1))</f>
        <v>2.7506849315068491</v>
      </c>
      <c r="D16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16">
        <f ca="1">LogLinearDF_Date(CalcTable_IRS[[#This Row],[Payment Date]], INDEX(Common[Today],1), MarketTable[Jump Date], MarketTable[Solved Forward], INDEX(Common[coupon DCB],1))</f>
        <v>0.92177976608192735</v>
      </c>
      <c r="F16">
        <f ca="1">CalcTable_IRS[[#This Row],[Expected CashFlow]] * CalcTable_IRS[[#This Row],[DF]]</f>
        <v>6.2731532573904319E-3</v>
      </c>
    </row>
    <row r="17" spans="1:6" x14ac:dyDescent="0.3">
      <c r="A17">
        <v>12</v>
      </c>
      <c r="B17" s="1">
        <v>47126</v>
      </c>
      <c r="C17" s="6">
        <f>CalcYF(INDEX(Common[Today],1), CalcTable_IRS[[#This Row],[Payment Date]], INDEX(Common[coupon DCB],1))</f>
        <v>3.0027397260273974</v>
      </c>
      <c r="D17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17">
        <f ca="1">LogLinearDF_Date(CalcTable_IRS[[#This Row],[Payment Date]], INDEX(Common[Today],1), MarketTable[Jump Date], MarketTable[Solved Forward], INDEX(Common[coupon DCB],1))</f>
        <v>0.91445825873372966</v>
      </c>
      <c r="F17">
        <f ca="1">CalcTable_IRS[[#This Row],[Expected CashFlow]] * CalcTable_IRS[[#This Row],[DF]]</f>
        <v>6.2233268895742046E-3</v>
      </c>
    </row>
    <row r="18" spans="1:6" x14ac:dyDescent="0.3">
      <c r="A18">
        <v>13</v>
      </c>
      <c r="B18" s="1">
        <v>47216</v>
      </c>
      <c r="C18" s="6">
        <f>CalcYF(INDEX(Common[Today],1), CalcTable_IRS[[#This Row],[Payment Date]], INDEX(Common[coupon DCB],1))</f>
        <v>3.2493150684931509</v>
      </c>
      <c r="D18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18">
        <f ca="1">LogLinearDF_Date(CalcTable_IRS[[#This Row],[Payment Date]], INDEX(Common[Today],1), MarketTable[Jump Date], MarketTable[Solved Forward], INDEX(Common[coupon DCB],1))</f>
        <v>0.90735218850347965</v>
      </c>
      <c r="F18">
        <f ca="1">CalcTable_IRS[[#This Row],[Expected CashFlow]] * CalcTable_IRS[[#This Row],[DF]]</f>
        <v>6.0407282686670014E-3</v>
      </c>
    </row>
    <row r="19" spans="1:6" x14ac:dyDescent="0.3">
      <c r="A19">
        <v>14</v>
      </c>
      <c r="B19" s="1">
        <v>47307</v>
      </c>
      <c r="C19" s="6">
        <f>CalcYF(INDEX(Common[Today],1), CalcTable_IRS[[#This Row],[Payment Date]], INDEX(Common[coupon DCB],1))</f>
        <v>3.4986301369863013</v>
      </c>
      <c r="D19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19">
        <f ca="1">LogLinearDF_Date(CalcTable_IRS[[#This Row],[Payment Date]], INDEX(Common[Today],1), MarketTable[Jump Date], MarketTable[Solved Forward], INDEX(Common[coupon DCB],1))</f>
        <v>0.90022330389253669</v>
      </c>
      <c r="F19">
        <f ca="1">CalcTable_IRS[[#This Row],[Expected CashFlow]] * CalcTable_IRS[[#This Row],[DF]]</f>
        <v>6.0598593360656509E-3</v>
      </c>
    </row>
    <row r="20" spans="1:6" x14ac:dyDescent="0.3">
      <c r="A20">
        <v>15</v>
      </c>
      <c r="B20" s="1">
        <v>47399</v>
      </c>
      <c r="C20" s="6">
        <f>CalcYF(INDEX(Common[Today],1), CalcTable_IRS[[#This Row],[Payment Date]], INDEX(Common[coupon DCB],1))</f>
        <v>3.7506849315068491</v>
      </c>
      <c r="D20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20">
        <f ca="1">LogLinearDF_Date(CalcTable_IRS[[#This Row],[Payment Date]], INDEX(Common[Today],1), MarketTable[Jump Date], MarketTable[Solved Forward], INDEX(Common[coupon DCB],1))</f>
        <v>0.89307301509580661</v>
      </c>
      <c r="F20">
        <f ca="1">CalcTable_IRS[[#This Row],[Expected CashFlow]] * CalcTable_IRS[[#This Row],[DF]]</f>
        <v>6.0777900534191341E-3</v>
      </c>
    </row>
    <row r="21" spans="1:6" x14ac:dyDescent="0.3">
      <c r="A21">
        <v>16</v>
      </c>
      <c r="B21" s="1">
        <v>47491</v>
      </c>
      <c r="C21" s="6">
        <f>CalcYF(INDEX(Common[Today],1), CalcTable_IRS[[#This Row],[Payment Date]], INDEX(Common[coupon DCB],1))</f>
        <v>4.0027397260273974</v>
      </c>
      <c r="D21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21">
        <f ca="1">LogLinearDF_Date(CalcTable_IRS[[#This Row],[Payment Date]], INDEX(Common[Today],1), MarketTable[Jump Date], MarketTable[Solved Forward], INDEX(Common[coupon DCB],1))</f>
        <v>0.88597951957431798</v>
      </c>
      <c r="F21">
        <f ca="1">CalcTable_IRS[[#This Row],[Expected CashFlow]] * CalcTable_IRS[[#This Row],[DF]]</f>
        <v>6.0295154154044002E-3</v>
      </c>
    </row>
    <row r="22" spans="1:6" x14ac:dyDescent="0.3">
      <c r="A22">
        <v>17</v>
      </c>
      <c r="B22" s="1">
        <v>47581</v>
      </c>
      <c r="C22" s="6">
        <f>CalcYF(INDEX(Common[Today],1), CalcTable_IRS[[#This Row],[Payment Date]], INDEX(Common[coupon DCB],1))</f>
        <v>4.2493150684931509</v>
      </c>
      <c r="D22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22">
        <f ca="1">LogLinearDF_Date(CalcTable_IRS[[#This Row],[Payment Date]], INDEX(Common[Today],1), MarketTable[Jump Date], MarketTable[Solved Forward], INDEX(Common[coupon DCB],1))</f>
        <v>0.87909475186783326</v>
      </c>
      <c r="F22">
        <f ca="1">CalcTable_IRS[[#This Row],[Expected CashFlow]] * CalcTable_IRS[[#This Row],[DF]]</f>
        <v>5.8526034165447532E-3</v>
      </c>
    </row>
    <row r="23" spans="1:6" x14ac:dyDescent="0.3">
      <c r="A23">
        <v>18</v>
      </c>
      <c r="B23" s="1">
        <v>47672</v>
      </c>
      <c r="C23" s="6">
        <f>CalcYF(INDEX(Common[Today],1), CalcTable_IRS[[#This Row],[Payment Date]], INDEX(Common[coupon DCB],1))</f>
        <v>4.4986301369863018</v>
      </c>
      <c r="D23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23">
        <f ca="1">LogLinearDF_Date(CalcTable_IRS[[#This Row],[Payment Date]], INDEX(Common[Today],1), MarketTable[Jump Date], MarketTable[Solved Forward], INDEX(Common[coupon DCB],1))</f>
        <v>0.8721878802830656</v>
      </c>
      <c r="F23">
        <f ca="1">CalcTable_IRS[[#This Row],[Expected CashFlow]] * CalcTable_IRS[[#This Row],[DF]]</f>
        <v>5.8711386900150474E-3</v>
      </c>
    </row>
    <row r="24" spans="1:6" x14ac:dyDescent="0.3">
      <c r="A24">
        <v>19</v>
      </c>
      <c r="B24" s="1">
        <v>47764</v>
      </c>
      <c r="C24" s="6">
        <f>CalcYF(INDEX(Common[Today],1), CalcTable_IRS[[#This Row],[Payment Date]], INDEX(Common[coupon DCB],1))</f>
        <v>4.7506849315068491</v>
      </c>
      <c r="D24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24">
        <f ca="1">LogLinearDF_Date(CalcTable_IRS[[#This Row],[Payment Date]], INDEX(Common[Today],1), MarketTable[Jump Date], MarketTable[Solved Forward], INDEX(Common[coupon DCB],1))</f>
        <v>0.86526027109758274</v>
      </c>
      <c r="F24">
        <f ca="1">CalcTable_IRS[[#This Row],[Expected CashFlow]] * CalcTable_IRS[[#This Row],[DF]]</f>
        <v>5.8885109956339611E-3</v>
      </c>
    </row>
    <row r="25" spans="1:6" x14ac:dyDescent="0.3">
      <c r="A25">
        <v>20</v>
      </c>
      <c r="B25" s="1">
        <v>47856</v>
      </c>
      <c r="C25" s="6">
        <f>CalcYF(INDEX(Common[Today],1), CalcTable_IRS[[#This Row],[Payment Date]], INDEX(Common[coupon DCB],1))</f>
        <v>5.0027397260273974</v>
      </c>
      <c r="D25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25">
        <f ca="1">LogLinearDF_Date(CalcTable_IRS[[#This Row],[Payment Date]], INDEX(Common[Today],1), MarketTable[Jump Date], MarketTable[Solved Forward], INDEX(Common[coupon DCB],1))</f>
        <v>0.8583876864889276</v>
      </c>
      <c r="F25">
        <f ca="1">CalcTable_IRS[[#This Row],[Expected CashFlow]] * CalcTable_IRS[[#This Row],[DF]]</f>
        <v>5.8417397622972499E-3</v>
      </c>
    </row>
    <row r="26" spans="1:6" x14ac:dyDescent="0.3">
      <c r="A26">
        <v>21</v>
      </c>
      <c r="B26" s="1">
        <v>47946</v>
      </c>
      <c r="C26" s="6">
        <f>CalcYF(INDEX(Common[Today],1), CalcTable_IRS[[#This Row],[Payment Date]], INDEX(Common[coupon DCB],1))</f>
        <v>5.2493150684931509</v>
      </c>
      <c r="D26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26">
        <f ca="1">LogLinearDF_Date(CalcTable_IRS[[#This Row],[Payment Date]], INDEX(Common[Today],1), MarketTable[Jump Date], MarketTable[Solved Forward], INDEX(Common[coupon DCB],1))</f>
        <v>0.85171732933843425</v>
      </c>
      <c r="F26">
        <f ca="1">CalcTable_IRS[[#This Row],[Expected CashFlow]] * CalcTable_IRS[[#This Row],[DF]]</f>
        <v>5.6703372884723156E-3</v>
      </c>
    </row>
    <row r="27" spans="1:6" x14ac:dyDescent="0.3">
      <c r="A27">
        <v>22</v>
      </c>
      <c r="B27" s="1">
        <v>48037</v>
      </c>
      <c r="C27" s="6">
        <f>CalcYF(INDEX(Common[Today],1), CalcTable_IRS[[#This Row],[Payment Date]], INDEX(Common[coupon DCB],1))</f>
        <v>5.4986301369863018</v>
      </c>
      <c r="D27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27">
        <f ca="1">LogLinearDF_Date(CalcTable_IRS[[#This Row],[Payment Date]], INDEX(Common[Today],1), MarketTable[Jump Date], MarketTable[Solved Forward], INDEX(Common[coupon DCB],1))</f>
        <v>0.84502555668507395</v>
      </c>
      <c r="F27">
        <f ca="1">CalcTable_IRS[[#This Row],[Expected CashFlow]] * CalcTable_IRS[[#This Row],[DF]]</f>
        <v>5.688295322671854E-3</v>
      </c>
    </row>
    <row r="28" spans="1:6" x14ac:dyDescent="0.3">
      <c r="A28">
        <v>23</v>
      </c>
      <c r="B28" s="1">
        <v>48129</v>
      </c>
      <c r="C28" s="6">
        <f>CalcYF(INDEX(Common[Today],1), CalcTable_IRS[[#This Row],[Payment Date]], INDEX(Common[coupon DCB],1))</f>
        <v>5.7506849315068491</v>
      </c>
      <c r="D28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28">
        <f ca="1">LogLinearDF_Date(CalcTable_IRS[[#This Row],[Payment Date]], INDEX(Common[Today],1), MarketTable[Jump Date], MarketTable[Solved Forward], INDEX(Common[coupon DCB],1))</f>
        <v>0.83831369225678187</v>
      </c>
      <c r="F28">
        <f ca="1">CalcTable_IRS[[#This Row],[Expected CashFlow]] * CalcTable_IRS[[#This Row],[DF]]</f>
        <v>5.705126607029716E-3</v>
      </c>
    </row>
    <row r="29" spans="1:6" x14ac:dyDescent="0.3">
      <c r="A29">
        <v>24</v>
      </c>
      <c r="B29" s="1">
        <v>48221</v>
      </c>
      <c r="C29" s="6">
        <f>CalcYF(INDEX(Common[Today],1), CalcTable_IRS[[#This Row],[Payment Date]], INDEX(Common[coupon DCB],1))</f>
        <v>6.0027397260273974</v>
      </c>
      <c r="D29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29">
        <f ca="1">LogLinearDF_Date(CalcTable_IRS[[#This Row],[Payment Date]], INDEX(Common[Today],1), MarketTable[Jump Date], MarketTable[Solved Forward], INDEX(Common[coupon DCB],1))</f>
        <v>0.83165513878902531</v>
      </c>
      <c r="F29">
        <f ca="1">CalcTable_IRS[[#This Row],[Expected CashFlow]] * CalcTable_IRS[[#This Row],[DF]]</f>
        <v>5.6598119582244909E-3</v>
      </c>
    </row>
    <row r="30" spans="1:6" x14ac:dyDescent="0.3">
      <c r="A30">
        <v>25</v>
      </c>
      <c r="B30" s="1">
        <v>48312</v>
      </c>
      <c r="C30" s="6">
        <f>CalcYF(INDEX(Common[Today],1), CalcTable_IRS[[#This Row],[Payment Date]], INDEX(Common[coupon DCB],1))</f>
        <v>6.2520547945205482</v>
      </c>
      <c r="D30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30">
        <f ca="1">LogLinearDF_Date(CalcTable_IRS[[#This Row],[Payment Date]], INDEX(Common[Today],1), MarketTable[Jump Date], MarketTable[Solved Forward], INDEX(Common[coupon DCB],1))</f>
        <v>0.82512099075296519</v>
      </c>
      <c r="F30">
        <f ca="1">CalcTable_IRS[[#This Row],[Expected CashFlow]] * CalcTable_IRS[[#This Row],[DF]]</f>
        <v>5.5543076007672203E-3</v>
      </c>
    </row>
    <row r="31" spans="1:6" x14ac:dyDescent="0.3">
      <c r="A31">
        <v>26</v>
      </c>
      <c r="B31" s="1">
        <v>48403</v>
      </c>
      <c r="C31" s="6">
        <f>CalcYF(INDEX(Common[Today],1), CalcTable_IRS[[#This Row],[Payment Date]], INDEX(Common[coupon DCB],1))</f>
        <v>6.5013698630136982</v>
      </c>
      <c r="D31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31">
        <f ca="1">LogLinearDF_Date(CalcTable_IRS[[#This Row],[Payment Date]], INDEX(Common[Today],1), MarketTable[Jump Date], MarketTable[Solved Forward], INDEX(Common[coupon DCB],1))</f>
        <v>0.81863818021073631</v>
      </c>
      <c r="F31">
        <f ca="1">CalcTable_IRS[[#This Row],[Expected CashFlow]] * CalcTable_IRS[[#This Row],[DF]]</f>
        <v>5.5106685171993951E-3</v>
      </c>
    </row>
    <row r="32" spans="1:6" x14ac:dyDescent="0.3">
      <c r="A32">
        <v>27</v>
      </c>
      <c r="B32" s="1">
        <v>48495</v>
      </c>
      <c r="C32" s="6">
        <f>CalcYF(INDEX(Common[Today],1), CalcTable_IRS[[#This Row],[Payment Date]], INDEX(Common[coupon DCB],1))</f>
        <v>6.7534246575342465</v>
      </c>
      <c r="D32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32">
        <f ca="1">LogLinearDF_Date(CalcTable_IRS[[#This Row],[Payment Date]], INDEX(Common[Today],1), MarketTable[Jump Date], MarketTable[Solved Forward], INDEX(Common[coupon DCB],1))</f>
        <v>0.8121359052938063</v>
      </c>
      <c r="F32">
        <f ca="1">CalcTable_IRS[[#This Row],[Expected CashFlow]] * CalcTable_IRS[[#This Row],[DF]]</f>
        <v>5.5269742157529177E-3</v>
      </c>
    </row>
    <row r="33" spans="1:6" x14ac:dyDescent="0.3">
      <c r="A33">
        <v>28</v>
      </c>
      <c r="B33" s="1">
        <v>48587</v>
      </c>
      <c r="C33" s="6">
        <f>CalcYF(INDEX(Common[Today],1), CalcTable_IRS[[#This Row],[Payment Date]], INDEX(Common[coupon DCB],1))</f>
        <v>7.0054794520547947</v>
      </c>
      <c r="D33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33">
        <f ca="1">LogLinearDF_Date(CalcTable_IRS[[#This Row],[Payment Date]], INDEX(Common[Today],1), MarketTable[Jump Date], MarketTable[Solved Forward], INDEX(Common[coupon DCB],1))</f>
        <v>0.80568527661097267</v>
      </c>
      <c r="F33">
        <f ca="1">CalcTable_IRS[[#This Row],[Expected CashFlow]] * CalcTable_IRS[[#This Row],[DF]]</f>
        <v>5.4830745947990582E-3</v>
      </c>
    </row>
    <row r="34" spans="1:6" x14ac:dyDescent="0.3">
      <c r="A34">
        <v>29</v>
      </c>
      <c r="B34" s="1">
        <v>48677</v>
      </c>
      <c r="C34" s="6">
        <f>CalcYF(INDEX(Common[Today],1), CalcTable_IRS[[#This Row],[Payment Date]], INDEX(Common[coupon DCB],1))</f>
        <v>7.2520547945205482</v>
      </c>
      <c r="D34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34">
        <f ca="1">LogLinearDF_Date(CalcTable_IRS[[#This Row],[Payment Date]], INDEX(Common[Today],1), MarketTable[Jump Date], MarketTable[Solved Forward], INDEX(Common[coupon DCB],1))</f>
        <v>0.79942445923150707</v>
      </c>
      <c r="F34">
        <f ca="1">CalcTable_IRS[[#This Row],[Expected CashFlow]] * CalcTable_IRS[[#This Row],[DF]]</f>
        <v>5.3221957148837321E-3</v>
      </c>
    </row>
    <row r="35" spans="1:6" x14ac:dyDescent="0.3">
      <c r="A35">
        <v>30</v>
      </c>
      <c r="B35" s="1">
        <v>48768</v>
      </c>
      <c r="C35" s="6">
        <f>CalcYF(INDEX(Common[Today],1), CalcTable_IRS[[#This Row],[Payment Date]], INDEX(Common[coupon DCB],1))</f>
        <v>7.5013698630136982</v>
      </c>
      <c r="D35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35">
        <f ca="1">LogLinearDF_Date(CalcTable_IRS[[#This Row],[Payment Date]], INDEX(Common[Today],1), MarketTable[Jump Date], MarketTable[Solved Forward], INDEX(Common[coupon DCB],1))</f>
        <v>0.79314354119633212</v>
      </c>
      <c r="F35">
        <f ca="1">CalcTable_IRS[[#This Row],[Expected CashFlow]] * CalcTable_IRS[[#This Row],[DF]]</f>
        <v>5.3390511800531183E-3</v>
      </c>
    </row>
    <row r="36" spans="1:6" x14ac:dyDescent="0.3">
      <c r="A36">
        <v>31</v>
      </c>
      <c r="B36" s="1">
        <v>48860</v>
      </c>
      <c r="C36" s="6">
        <f>CalcYF(INDEX(Common[Today],1), CalcTable_IRS[[#This Row],[Payment Date]], INDEX(Common[coupon DCB],1))</f>
        <v>7.7534246575342465</v>
      </c>
      <c r="D36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36">
        <f ca="1">LogLinearDF_Date(CalcTable_IRS[[#This Row],[Payment Date]], INDEX(Common[Today],1), MarketTable[Jump Date], MarketTable[Solved Forward], INDEX(Common[coupon DCB],1))</f>
        <v>0.78684376496048847</v>
      </c>
      <c r="F36">
        <f ca="1">CalcTable_IRS[[#This Row],[Expected CashFlow]] * CalcTable_IRS[[#This Row],[DF]]</f>
        <v>5.3548490744160368E-3</v>
      </c>
    </row>
    <row r="37" spans="1:6" x14ac:dyDescent="0.3">
      <c r="A37">
        <v>32</v>
      </c>
      <c r="B37" s="1">
        <v>48952</v>
      </c>
      <c r="C37" s="6">
        <f>CalcYF(INDEX(Common[Today],1), CalcTable_IRS[[#This Row],[Payment Date]], INDEX(Common[coupon DCB],1))</f>
        <v>8.0054794520547947</v>
      </c>
      <c r="D37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37">
        <f ca="1">LogLinearDF_Date(CalcTable_IRS[[#This Row],[Payment Date]], INDEX(Common[Today],1), MarketTable[Jump Date], MarketTable[Solved Forward], INDEX(Common[coupon DCB],1))</f>
        <v>0.78059402655331045</v>
      </c>
      <c r="F37">
        <f ca="1">CalcTable_IRS[[#This Row],[Expected CashFlow]] * CalcTable_IRS[[#This Row],[DF]]</f>
        <v>5.3123166081052694E-3</v>
      </c>
    </row>
    <row r="38" spans="1:6" x14ac:dyDescent="0.3">
      <c r="A38">
        <v>33</v>
      </c>
      <c r="B38" s="1">
        <v>49042</v>
      </c>
      <c r="C38" s="6">
        <f>CalcYF(INDEX(Common[Today],1), CalcTable_IRS[[#This Row],[Payment Date]], INDEX(Common[coupon DCB],1))</f>
        <v>8.2520547945205482</v>
      </c>
      <c r="D38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38">
        <f ca="1">LogLinearDF_Date(CalcTable_IRS[[#This Row],[Payment Date]], INDEX(Common[Today],1), MarketTable[Jump Date], MarketTable[Solved Forward], INDEX(Common[coupon DCB],1))</f>
        <v>0.7745281882047319</v>
      </c>
      <c r="F38">
        <f ca="1">CalcTable_IRS[[#This Row],[Expected CashFlow]] * CalcTable_IRS[[#This Row],[DF]]</f>
        <v>5.1564479379109544E-3</v>
      </c>
    </row>
    <row r="39" spans="1:6" x14ac:dyDescent="0.3">
      <c r="A39">
        <v>34</v>
      </c>
      <c r="B39" s="1">
        <v>49133</v>
      </c>
      <c r="C39" s="6">
        <f>CalcYF(INDEX(Common[Today],1), CalcTable_IRS[[#This Row],[Payment Date]], INDEX(Common[coupon DCB],1))</f>
        <v>8.5013698630136982</v>
      </c>
      <c r="D39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39">
        <f ca="1">LogLinearDF_Date(CalcTable_IRS[[#This Row],[Payment Date]], INDEX(Common[Today],1), MarketTable[Jump Date], MarketTable[Solved Forward], INDEX(Common[coupon DCB],1))</f>
        <v>0.76844287519001253</v>
      </c>
      <c r="F39">
        <f ca="1">CalcTable_IRS[[#This Row],[Expected CashFlow]] * CalcTable_IRS[[#This Row],[DF]]</f>
        <v>5.1727784776489337E-3</v>
      </c>
    </row>
    <row r="40" spans="1:6" x14ac:dyDescent="0.3">
      <c r="A40">
        <v>35</v>
      </c>
      <c r="B40" s="1">
        <v>49225</v>
      </c>
      <c r="C40" s="6">
        <f>CalcYF(INDEX(Common[Today],1), CalcTable_IRS[[#This Row],[Payment Date]], INDEX(Common[coupon DCB],1))</f>
        <v>8.7534246575342465</v>
      </c>
      <c r="D40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40">
        <f ca="1">LogLinearDF_Date(CalcTable_IRS[[#This Row],[Payment Date]], INDEX(Common[Today],1), MarketTable[Jump Date], MarketTable[Solved Forward], INDEX(Common[coupon DCB],1))</f>
        <v>0.76233929127073419</v>
      </c>
      <c r="F40">
        <f ca="1">CalcTable_IRS[[#This Row],[Expected CashFlow]] * CalcTable_IRS[[#This Row],[DF]]</f>
        <v>5.1880843822369972E-3</v>
      </c>
    </row>
    <row r="41" spans="1:6" x14ac:dyDescent="0.3">
      <c r="A41">
        <v>36</v>
      </c>
      <c r="B41" s="1">
        <v>49317</v>
      </c>
      <c r="C41" s="6">
        <f>CalcYF(INDEX(Common[Today],1), CalcTable_IRS[[#This Row],[Payment Date]], INDEX(Common[coupon DCB],1))</f>
        <v>9.0054794520547947</v>
      </c>
      <c r="D41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41">
        <f ca="1">LogLinearDF_Date(CalcTable_IRS[[#This Row],[Payment Date]], INDEX(Common[Today],1), MarketTable[Jump Date], MarketTable[Solved Forward], INDEX(Common[coupon DCB],1))</f>
        <v>0.756284186864849</v>
      </c>
      <c r="F41">
        <f ca="1">CalcTable_IRS[[#This Row],[Expected CashFlow]] * CalcTable_IRS[[#This Row],[DF]]</f>
        <v>5.146876493622699E-3</v>
      </c>
    </row>
    <row r="42" spans="1:6" x14ac:dyDescent="0.3">
      <c r="A42">
        <v>37</v>
      </c>
      <c r="B42" s="1">
        <v>49407</v>
      </c>
      <c r="C42" s="6">
        <f>CalcYF(INDEX(Common[Today],1), CalcTable_IRS[[#This Row],[Payment Date]], INDEX(Common[coupon DCB],1))</f>
        <v>9.2520547945205482</v>
      </c>
      <c r="D42">
        <f ca="1">INDEX(Summary_IRS[Market Rate],1) * CalcYF(IF(CalcTable_IRS[[#This Row],[No]]=1, INDEX(Common[Today],1), OFFSET(CalcTable_IRS[[#This Row],[Payment Date]],-1,0)), CalcTable_IRS[[#This Row],[Payment Date]], INDEX(Common[coupon DCB],1))</f>
        <v>6.6575342465753423E-3</v>
      </c>
      <c r="E42">
        <f ca="1">LogLinearDF_Date(CalcTable_IRS[[#This Row],[Payment Date]], INDEX(Common[Today],1), MarketTable[Jump Date], MarketTable[Solved Forward], INDEX(Common[coupon DCB],1))</f>
        <v>0.75040725536517516</v>
      </c>
      <c r="F42">
        <f ca="1">CalcTable_IRS[[#This Row],[Expected CashFlow]] * CalcTable_IRS[[#This Row],[DF]]</f>
        <v>4.9958620014722618E-3</v>
      </c>
    </row>
    <row r="43" spans="1:6" x14ac:dyDescent="0.3">
      <c r="A43">
        <v>38</v>
      </c>
      <c r="B43" s="1">
        <v>49498</v>
      </c>
      <c r="C43" s="6">
        <f>CalcYF(INDEX(Common[Today],1), CalcTable_IRS[[#This Row],[Payment Date]], INDEX(Common[coupon DCB],1))</f>
        <v>9.5013698630136982</v>
      </c>
      <c r="D43">
        <f ca="1">INDEX(Summary_IRS[Market Rate],1) * CalcYF(IF(CalcTable_IRS[[#This Row],[No]]=1, INDEX(Common[Today],1), OFFSET(CalcTable_IRS[[#This Row],[Payment Date]],-1,0)), CalcTable_IRS[[#This Row],[Payment Date]], INDEX(Common[coupon DCB],1))</f>
        <v>6.7315068493150687E-3</v>
      </c>
      <c r="E43">
        <f ca="1">LogLinearDF_Date(CalcTable_IRS[[#This Row],[Payment Date]], INDEX(Common[Today],1), MarketTable[Jump Date], MarketTable[Solved Forward], INDEX(Common[coupon DCB],1))</f>
        <v>0.74451145569389654</v>
      </c>
      <c r="F43">
        <f ca="1">CalcTable_IRS[[#This Row],[Expected CashFlow]] * CalcTable_IRS[[#This Row],[DF]]</f>
        <v>5.011683963396997E-3</v>
      </c>
    </row>
    <row r="44" spans="1:6" x14ac:dyDescent="0.3">
      <c r="A44">
        <v>39</v>
      </c>
      <c r="B44" s="1">
        <v>49590</v>
      </c>
      <c r="C44" s="6">
        <f>CalcYF(INDEX(Common[Today],1), CalcTable_IRS[[#This Row],[Payment Date]], INDEX(Common[coupon DCB],1))</f>
        <v>9.7534246575342465</v>
      </c>
      <c r="D44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44">
        <f ca="1">LogLinearDF_Date(CalcTable_IRS[[#This Row],[Payment Date]], INDEX(Common[Today],1), MarketTable[Jump Date], MarketTable[Solved Forward], INDEX(Common[coupon DCB],1))</f>
        <v>0.7385979541241563</v>
      </c>
      <c r="F44">
        <f ca="1">CalcTable_IRS[[#This Row],[Expected CashFlow]] * CalcTable_IRS[[#This Row],[DF]]</f>
        <v>5.026513200121656E-3</v>
      </c>
    </row>
    <row r="45" spans="1:6" x14ac:dyDescent="0.3">
      <c r="A45">
        <v>40</v>
      </c>
      <c r="B45" s="1">
        <v>49682</v>
      </c>
      <c r="C45" s="6">
        <f>CalcYF(INDEX(Common[Today],1), CalcTable_IRS[[#This Row],[Payment Date]], INDEX(Common[coupon DCB],1))</f>
        <v>10.005479452054795</v>
      </c>
      <c r="D45">
        <f ca="1">INDEX(Summary_IRS[Market Rate],1) * CalcYF(IF(CalcTable_IRS[[#This Row],[No]]=1, INDEX(Common[Today],1), OFFSET(CalcTable_IRS[[#This Row],[Payment Date]],-1,0)), CalcTable_IRS[[#This Row],[Payment Date]], INDEX(Common[coupon DCB],1))</f>
        <v>6.8054794520547952E-3</v>
      </c>
      <c r="E45">
        <f ca="1">LogLinearDF_Date(CalcTable_IRS[[#This Row],[Payment Date]], INDEX(Common[Today],1), MarketTable[Jump Date], MarketTable[Solved Forward], INDEX(Common[coupon DCB],1))</f>
        <v>0.7327314222827499</v>
      </c>
      <c r="F45">
        <f ca="1">CalcTable_IRS[[#This Row],[Expected CashFlow]] * CalcTable_IRS[[#This Row],[DF]]</f>
        <v>4.9865886382201392E-3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92C3-5515-4138-9D67-B2ADE8A51659}">
  <sheetPr codeName="Sheet4"/>
  <dimension ref="A1:B16"/>
  <sheetViews>
    <sheetView workbookViewId="0">
      <selection activeCell="D12" sqref="D12"/>
    </sheetView>
  </sheetViews>
  <sheetFormatPr defaultRowHeight="16.5" x14ac:dyDescent="0.3"/>
  <cols>
    <col min="1" max="1" width="49" bestFit="1" customWidth="1"/>
    <col min="2" max="2" width="16.625" bestFit="1" customWidth="1"/>
  </cols>
  <sheetData>
    <row r="1" spans="1:2" x14ac:dyDescent="0.3">
      <c r="A1" t="s">
        <v>31</v>
      </c>
      <c r="B1" s="4">
        <v>46036.422013888892</v>
      </c>
    </row>
    <row r="3" spans="1:2" x14ac:dyDescent="0.3">
      <c r="A3" t="s">
        <v>32</v>
      </c>
    </row>
    <row r="5" spans="1:2" x14ac:dyDescent="0.3">
      <c r="A5" t="s">
        <v>33</v>
      </c>
    </row>
    <row r="6" spans="1:2" x14ac:dyDescent="0.3">
      <c r="A6" t="s">
        <v>34</v>
      </c>
    </row>
    <row r="7" spans="1:2" x14ac:dyDescent="0.3">
      <c r="A7" t="s">
        <v>35</v>
      </c>
    </row>
    <row r="8" spans="1:2" x14ac:dyDescent="0.3">
      <c r="A8" t="s">
        <v>36</v>
      </c>
    </row>
    <row r="10" spans="1:2" x14ac:dyDescent="0.3">
      <c r="A10" t="s">
        <v>37</v>
      </c>
    </row>
    <row r="11" spans="1:2" x14ac:dyDescent="0.3">
      <c r="A11" t="s">
        <v>38</v>
      </c>
    </row>
    <row r="13" spans="1:2" x14ac:dyDescent="0.3">
      <c r="A13" t="s">
        <v>39</v>
      </c>
    </row>
    <row r="14" spans="1:2" x14ac:dyDescent="0.3">
      <c r="A14" t="s">
        <v>40</v>
      </c>
    </row>
    <row r="15" spans="1:2" x14ac:dyDescent="0.3">
      <c r="A15" t="s">
        <v>41</v>
      </c>
    </row>
    <row r="16" spans="1:2" x14ac:dyDescent="0.3">
      <c r="A16" t="s">
        <v>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Validation_Deposit</vt:lpstr>
      <vt:lpstr>Validation_IRS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2026-01-14T01:07:40Z</dcterms:created>
  <dcterms:modified xsi:type="dcterms:W3CDTF">2026-01-16T00:24:26Z</dcterms:modified>
</cp:coreProperties>
</file>