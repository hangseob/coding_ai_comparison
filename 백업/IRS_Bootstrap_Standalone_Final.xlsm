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Repositories\cursor limit check\백업\"/>
    </mc:Choice>
  </mc:AlternateContent>
  <xr:revisionPtr revIDLastSave="0" documentId="8_{1B227D74-40F5-4108-B6A2-577E1FBDB105}" xr6:coauthVersionLast="36" xr6:coauthVersionMax="36" xr10:uidLastSave="{00000000-0000-0000-0000-000000000000}"/>
  <bookViews>
    <workbookView xWindow="0" yWindow="0" windowWidth="28800" windowHeight="10860" xr2:uid="{ECEE4D74-2D80-4B28-8098-DB163B60006B}"/>
  </bookViews>
  <sheets>
    <sheet name="Calculation" sheetId="2" r:id="rId1"/>
    <sheet name="Info" sheetId="3" r:id="rId2"/>
    <sheet name="Main" sheetId="1" r:id="rId3"/>
    <sheet name="가나다" sheetId="4" r:id="rId4"/>
    <sheet name="마바사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3" i="2"/>
  <c r="B6" i="2"/>
  <c r="C9" i="2"/>
  <c r="C41" i="2"/>
  <c r="C73" i="2"/>
  <c r="C78" i="2"/>
  <c r="C48" i="2"/>
  <c r="C82" i="2"/>
  <c r="C84" i="2"/>
  <c r="C55" i="2"/>
  <c r="C88" i="2"/>
  <c r="C10" i="2"/>
  <c r="C42" i="2"/>
  <c r="C74" i="2"/>
  <c r="C45" i="2"/>
  <c r="C47" i="2"/>
  <c r="C81" i="2"/>
  <c r="C51" i="2"/>
  <c r="C54" i="2"/>
  <c r="C56" i="2"/>
  <c r="C63" i="2"/>
  <c r="C35" i="2"/>
  <c r="C11" i="2"/>
  <c r="C43" i="2"/>
  <c r="C75" i="2"/>
  <c r="C77" i="2"/>
  <c r="C16" i="2"/>
  <c r="C52" i="2"/>
  <c r="C87" i="2"/>
  <c r="C59" i="2"/>
  <c r="C30" i="2"/>
  <c r="C65" i="2"/>
  <c r="C37" i="2"/>
  <c r="C72" i="2"/>
  <c r="C12" i="2"/>
  <c r="C44" i="2"/>
  <c r="C76" i="2"/>
  <c r="C79" i="2"/>
  <c r="C50" i="2"/>
  <c r="C21" i="2"/>
  <c r="C62" i="2"/>
  <c r="C66" i="2"/>
  <c r="C13" i="2"/>
  <c r="C80" i="2"/>
  <c r="C86" i="2"/>
  <c r="C60" i="2"/>
  <c r="C67" i="2"/>
  <c r="C14" i="2"/>
  <c r="C46" i="2"/>
  <c r="C49" i="2"/>
  <c r="C83" i="2"/>
  <c r="C22" i="2"/>
  <c r="C61" i="2"/>
  <c r="C34" i="2"/>
  <c r="C70" i="2"/>
  <c r="C15" i="2"/>
  <c r="C85" i="2"/>
  <c r="C57" i="2"/>
  <c r="C31" i="2"/>
  <c r="C68" i="2"/>
  <c r="C17" i="2"/>
  <c r="C53" i="2"/>
  <c r="C39" i="2"/>
  <c r="C18" i="2"/>
  <c r="C58" i="2"/>
  <c r="C32" i="2"/>
  <c r="C40" i="2"/>
  <c r="C19" i="2"/>
  <c r="C28" i="2"/>
  <c r="C36" i="2"/>
  <c r="C20" i="2"/>
  <c r="C23" i="2"/>
  <c r="C69" i="2"/>
  <c r="C24" i="2"/>
  <c r="C33" i="2"/>
  <c r="C38" i="2"/>
  <c r="C25" i="2"/>
  <c r="C71" i="2"/>
  <c r="C26" i="2"/>
  <c r="C64" i="2"/>
  <c r="C27" i="2"/>
  <c r="C29" i="2"/>
  <c r="C5" i="1"/>
  <c r="F9" i="1"/>
  <c r="F10" i="1"/>
  <c r="F5" i="1"/>
  <c r="C9" i="1"/>
  <c r="C6" i="1"/>
  <c r="F6" i="1"/>
  <c r="F8" i="1"/>
  <c r="C7" i="1"/>
  <c r="C8" i="1"/>
  <c r="F7" i="1"/>
  <c r="C10" i="1"/>
  <c r="D29" i="2" l="1"/>
  <c r="D27" i="2"/>
  <c r="D64" i="2"/>
  <c r="D26" i="2"/>
  <c r="D71" i="2"/>
  <c r="D25" i="2"/>
  <c r="D38" i="2"/>
  <c r="D33" i="2"/>
  <c r="D24" i="2"/>
  <c r="D69" i="2"/>
  <c r="D23" i="2"/>
  <c r="D20" i="2"/>
  <c r="D36" i="2"/>
  <c r="D28" i="2"/>
  <c r="D19" i="2"/>
  <c r="D40" i="2"/>
  <c r="D32" i="2"/>
  <c r="D58" i="2"/>
  <c r="D18" i="2"/>
  <c r="D39" i="2"/>
  <c r="D53" i="2"/>
  <c r="D17" i="2"/>
  <c r="D68" i="2"/>
  <c r="D31" i="2"/>
  <c r="D57" i="2"/>
  <c r="D85" i="2"/>
  <c r="D15" i="2"/>
  <c r="D70" i="2"/>
  <c r="D34" i="2"/>
  <c r="D61" i="2"/>
  <c r="D22" i="2"/>
  <c r="D83" i="2"/>
  <c r="D49" i="2"/>
  <c r="D46" i="2"/>
  <c r="D14" i="2"/>
  <c r="D67" i="2"/>
  <c r="D60" i="2"/>
  <c r="D86" i="2"/>
  <c r="D80" i="2"/>
  <c r="D13" i="2"/>
  <c r="D66" i="2"/>
  <c r="D62" i="2"/>
  <c r="D21" i="2"/>
  <c r="D50" i="2"/>
  <c r="D79" i="2"/>
  <c r="D76" i="2"/>
  <c r="D44" i="2"/>
  <c r="D12" i="2"/>
  <c r="D72" i="2"/>
  <c r="D37" i="2"/>
  <c r="D65" i="2"/>
  <c r="D30" i="2"/>
  <c r="D59" i="2"/>
  <c r="D87" i="2"/>
  <c r="D52" i="2"/>
  <c r="D16" i="2"/>
  <c r="D77" i="2"/>
  <c r="D75" i="2"/>
  <c r="D43" i="2"/>
  <c r="D11" i="2"/>
  <c r="D35" i="2"/>
  <c r="D63" i="2"/>
  <c r="D56" i="2"/>
  <c r="D54" i="2"/>
  <c r="D51" i="2"/>
  <c r="D81" i="2"/>
  <c r="D47" i="2"/>
  <c r="D45" i="2"/>
  <c r="D74" i="2"/>
  <c r="D42" i="2"/>
  <c r="D10" i="2"/>
  <c r="D88" i="2"/>
  <c r="D55" i="2"/>
  <c r="D84" i="2"/>
  <c r="D82" i="2"/>
  <c r="D48" i="2"/>
  <c r="D78" i="2"/>
  <c r="D73" i="2"/>
  <c r="D41" i="2"/>
  <c r="D9" i="2"/>
</calcChain>
</file>

<file path=xl/sharedStrings.xml><?xml version="1.0" encoding="utf-8"?>
<sst xmlns="http://schemas.openxmlformats.org/spreadsheetml/2006/main" count="42" uniqueCount="36">
  <si>
    <t>KRW IRS Standalone Bootstrapper</t>
  </si>
  <si>
    <t>No</t>
  </si>
  <si>
    <t>Inst. Tenor</t>
  </si>
  <si>
    <t>Tenor(Y)</t>
  </si>
  <si>
    <t>Market Rate</t>
  </si>
  <si>
    <t>Jump Node</t>
  </si>
  <si>
    <t>Node(Y)</t>
  </si>
  <si>
    <t>Solved Forward</t>
  </si>
  <si>
    <t>1D</t>
  </si>
  <si>
    <t>3M</t>
  </si>
  <si>
    <t>6M</t>
  </si>
  <si>
    <t>1Y</t>
  </si>
  <si>
    <t>2Y</t>
  </si>
  <si>
    <t>3Y</t>
  </si>
  <si>
    <t>Target Index:</t>
  </si>
  <si>
    <t>Target Year:</t>
  </si>
  <si>
    <t>NPV Error:</t>
  </si>
  <si>
    <t>Time(T)</t>
  </si>
  <si>
    <t>CashFlow</t>
  </si>
  <si>
    <t>DF</t>
  </si>
  <si>
    <t>DCF</t>
  </si>
  <si>
    <t>Excel Bootstrapper 생성 정보</t>
  </si>
  <si>
    <t>생성 시점</t>
  </si>
  <si>
    <t>작업 도구</t>
  </si>
  <si>
    <t>Python (xlwings) + Excel VBA</t>
  </si>
  <si>
    <t>[부트스트래핑 로직 요약]</t>
  </si>
  <si>
    <t>1. 보간법</t>
  </si>
  <si>
    <t>Log-Linear Interpolation (Linear on Log DF)</t>
  </si>
  <si>
    <t>2. 해찾기</t>
  </si>
  <si>
    <t>Newton-Raphson Method 기반 VBA 엔진</t>
  </si>
  <si>
    <t>3. 평가 방식</t>
  </si>
  <si>
    <t>단기(Cash) vs 장기(Swap) 구분 적용</t>
  </si>
  <si>
    <t>4. 사용법</t>
  </si>
  <si>
    <t>Main 시트 금리 수정 후 버튼 클릭</t>
  </si>
  <si>
    <t>NPV fixed:</t>
    <phoneticPr fontId="4" type="noConversion"/>
  </si>
  <si>
    <t xml:space="preserve">NPV floating: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</si>
</sst>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</cellXfs>
  <cellStyles count="1">
    <cellStyle name="표준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533400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147D613-489D-43BB-8F7A-145B58FE0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Bootstrapping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C32A89-91A1-4450-A118-12B16ACEF12A}" name="CalcTable" displayName="CalcTable" ref="A8:D88" totalsRowShown="0" headerRowDxfId="0">
  <autoFilter ref="A8:D88" xr:uid="{84BAADC8-E0E4-43E2-BE20-F2F7086B5A66}"/>
  <tableColumns count="4">
    <tableColumn id="1" xr3:uid="{066C7BB6-D4B9-4A1C-8A72-C6CFE0404F45}" name="Time(T)"/>
    <tableColumn id="2" xr3:uid="{5FD32439-6663-4D13-B129-C338A4A1D8C6}" name="CashFlow">
      <calculatedColumnFormula>INDEX(MarketTable[Market Rate], $B$2) * 0.25</calculatedColumnFormula>
    </tableColumn>
    <tableColumn id="3" xr3:uid="{E4B6588D-8D81-4613-8CD6-75237D571C94}" name="DF">
      <calculatedColumnFormula>LogLinearDF(CalcTable[[#This Row],[Time(T)]], MarketTable[Node(Y)], MarketTable[Solved Forward])</calculatedColumnFormula>
    </tableColumn>
    <tableColumn id="4" xr3:uid="{81022D70-0CA6-4597-A3C1-053C5CBCCF43}" name="DCF">
      <calculatedColumnFormula>CalcTable[[#This Row],[CashFlow]]*CalcTable[[#This Row],[DF]]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B28577-E812-4D46-AFCD-4961C046488F}" name="MarketTable" displayName="MarketTable" ref="A4:G10" totalsRowShown="0" headerRowDxfId="1">
  <autoFilter ref="A4:G10" xr:uid="{64EA3244-6CF8-4781-BA2F-61541C333E15}"/>
  <tableColumns count="7">
    <tableColumn id="1" xr3:uid="{0A5171FB-2394-4ECE-9EAC-8EDC81037B03}" name="No"/>
    <tableColumn id="2" xr3:uid="{6EABC2AA-4816-42B7-9FCE-6B51C47B5F94}" name="Inst. Tenor"/>
    <tableColumn id="3" xr3:uid="{BDDA75CF-A71B-4593-AE4C-30A9B8525593}" name="Tenor(Y)">
      <calculatedColumnFormula>ParseTenor(B5)</calculatedColumnFormula>
    </tableColumn>
    <tableColumn id="4" xr3:uid="{9DD5E063-C38D-4E72-B8DC-BA88E4DD6958}" name="Market Rate"/>
    <tableColumn id="5" xr3:uid="{3D1DB3FD-7CC9-48E9-B508-67FDA2F07D0B}" name="Jump Node"/>
    <tableColumn id="6" xr3:uid="{7FC2B3F1-0D1C-4FC1-86B1-0B65D51D75A8}" name="Node(Y)">
      <calculatedColumnFormula>ParseTenor(E5)</calculatedColumnFormula>
    </tableColumn>
    <tableColumn id="7" xr3:uid="{50916A2A-8A78-45B3-A88C-2B8044689FDA}" name="Solved Forwar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FBA1-9BA1-41E7-9E36-851612B35AF2}">
  <dimension ref="A2:D88"/>
  <sheetViews>
    <sheetView tabSelected="1" workbookViewId="0">
      <selection activeCell="F7" sqref="F7"/>
    </sheetView>
  </sheetViews>
  <sheetFormatPr defaultRowHeight="16.5" x14ac:dyDescent="0.3"/>
  <cols>
    <col min="1" max="1" width="12.75" bestFit="1" customWidth="1"/>
    <col min="2" max="2" width="14" bestFit="1" customWidth="1"/>
    <col min="3" max="4" width="12.75" bestFit="1" customWidth="1"/>
  </cols>
  <sheetData>
    <row r="2" spans="1:4" x14ac:dyDescent="0.3">
      <c r="A2" t="s">
        <v>14</v>
      </c>
      <c r="B2">
        <v>1</v>
      </c>
    </row>
    <row r="3" spans="1:4" x14ac:dyDescent="0.3">
      <c r="A3" t="s">
        <v>15</v>
      </c>
      <c r="B3">
        <f>INDEX(MarketTable[Tenor(Y)], $B$2)</f>
        <v>2.7397260273972603E-3</v>
      </c>
    </row>
    <row r="4" spans="1:4" x14ac:dyDescent="0.3">
      <c r="A4" t="s">
        <v>34</v>
      </c>
    </row>
    <row r="5" spans="1:4" x14ac:dyDescent="0.3">
      <c r="A5" t="s">
        <v>35</v>
      </c>
    </row>
    <row r="6" spans="1:4" x14ac:dyDescent="0.3">
      <c r="A6" t="s">
        <v>16</v>
      </c>
      <c r="B6">
        <f>IF($B$3 &lt; 0.4,
    (1 + INDEX(MarketTable[Market Rate], $B$2) * $B$3) *
    LogLinearDF($B$3, MarketTable[Node(Y)], MarketTable[Solved Forward]) - 1,
    SUMIFS(CalcTable[DCF], CalcTable[Time(T)], "&lt;=" &amp; $B$3 + 0.0001) -
    (1 - LogLinearDF($B$3, MarketTable[Node(Y)], MarketTable[Solved Forward]))
)</f>
        <v>-9.3817665858253463E-9</v>
      </c>
    </row>
    <row r="8" spans="1:4" x14ac:dyDescent="0.3">
      <c r="A8" s="3" t="s">
        <v>17</v>
      </c>
      <c r="B8" s="3" t="s">
        <v>18</v>
      </c>
      <c r="C8" s="3" t="s">
        <v>19</v>
      </c>
      <c r="D8" s="3" t="s">
        <v>20</v>
      </c>
    </row>
    <row r="9" spans="1:4" x14ac:dyDescent="0.3">
      <c r="A9">
        <v>0.25</v>
      </c>
      <c r="B9">
        <f>INDEX(MarketTable[Market Rate], $B$2) * 0.25</f>
        <v>1.2500000000000001E-2</v>
      </c>
      <c r="C9">
        <f>LogLinearDF(CalcTable[[#This Row],[Time(T)]], MarketTable[Node(Y)], MarketTable[Solved Forward])</f>
        <v>0.98757780049388144</v>
      </c>
      <c r="D9">
        <f>CalcTable[[#This Row],[CashFlow]]*CalcTable[[#This Row],[DF]]</f>
        <v>1.2344722506173519E-2</v>
      </c>
    </row>
    <row r="10" spans="1:4" x14ac:dyDescent="0.3">
      <c r="A10">
        <v>0.5</v>
      </c>
      <c r="B10">
        <f>INDEX(MarketTable[Market Rate], $B$2) * 0.25</f>
        <v>1.2500000000000001E-2</v>
      </c>
      <c r="C10">
        <f>LogLinearDF(CalcTable[[#This Row],[Time(T)]], MarketTable[Node(Y)], MarketTable[Solved Forward])</f>
        <v>0.97530991202833262</v>
      </c>
      <c r="D10">
        <f>CalcTable[[#This Row],[CashFlow]]*CalcTable[[#This Row],[DF]]</f>
        <v>1.2191373900354158E-2</v>
      </c>
    </row>
    <row r="11" spans="1:4" x14ac:dyDescent="0.3">
      <c r="A11">
        <v>0.75</v>
      </c>
      <c r="B11">
        <f>INDEX(MarketTable[Market Rate], $B$2) * 0.25</f>
        <v>1.2500000000000001E-2</v>
      </c>
      <c r="C11">
        <f>LogLinearDF(CalcTable[[#This Row],[Time(T)]], MarketTable[Node(Y)], MarketTable[Solved Forward])</f>
        <v>0.96319441772082182</v>
      </c>
      <c r="D11">
        <f>CalcTable[[#This Row],[CashFlow]]*CalcTable[[#This Row],[DF]]</f>
        <v>1.2039930221510273E-2</v>
      </c>
    </row>
    <row r="12" spans="1:4" x14ac:dyDescent="0.3">
      <c r="A12">
        <v>1</v>
      </c>
      <c r="B12">
        <f>INDEX(MarketTable[Market Rate], $B$2) * 0.25</f>
        <v>1.2500000000000001E-2</v>
      </c>
      <c r="C12">
        <f>LogLinearDF(CalcTable[[#This Row],[Time(T)]], MarketTable[Node(Y)], MarketTable[Solved Forward])</f>
        <v>0.95122942450071402</v>
      </c>
      <c r="D12">
        <f>CalcTable[[#This Row],[CashFlow]]*CalcTable[[#This Row],[DF]]</f>
        <v>1.1890367806258927E-2</v>
      </c>
    </row>
    <row r="13" spans="1:4" x14ac:dyDescent="0.3">
      <c r="A13">
        <v>1.25</v>
      </c>
      <c r="B13">
        <f>INDEX(MarketTable[Market Rate], $B$2) * 0.25</f>
        <v>1.2500000000000001E-2</v>
      </c>
      <c r="C13">
        <f>LogLinearDF(CalcTable[[#This Row],[Time(T)]], MarketTable[Node(Y)], MarketTable[Solved Forward])</f>
        <v>0.93941306281347581</v>
      </c>
      <c r="D13">
        <f>CalcTable[[#This Row],[CashFlow]]*CalcTable[[#This Row],[DF]]</f>
        <v>1.1742663285168448E-2</v>
      </c>
    </row>
    <row r="14" spans="1:4" x14ac:dyDescent="0.3">
      <c r="A14">
        <v>1.5</v>
      </c>
      <c r="B14">
        <f>INDEX(MarketTable[Market Rate], $B$2) * 0.25</f>
        <v>1.2500000000000001E-2</v>
      </c>
      <c r="C14">
        <f>LogLinearDF(CalcTable[[#This Row],[Time(T)]], MarketTable[Node(Y)], MarketTable[Solved Forward])</f>
        <v>0.92774348632855286</v>
      </c>
      <c r="D14">
        <f>CalcTable[[#This Row],[CashFlow]]*CalcTable[[#This Row],[DF]]</f>
        <v>1.1596793579106911E-2</v>
      </c>
    </row>
    <row r="15" spans="1:4" x14ac:dyDescent="0.3">
      <c r="A15">
        <v>1.75</v>
      </c>
      <c r="B15">
        <f>INDEX(MarketTable[Market Rate], $B$2) * 0.25</f>
        <v>1.2500000000000001E-2</v>
      </c>
      <c r="C15">
        <f>LogLinearDF(CalcTable[[#This Row],[Time(T)]], MarketTable[Node(Y)], MarketTable[Solved Forward])</f>
        <v>0.91621887165087756</v>
      </c>
      <c r="D15">
        <f>CalcTable[[#This Row],[CashFlow]]*CalcTable[[#This Row],[DF]]</f>
        <v>1.145273589563597E-2</v>
      </c>
    </row>
    <row r="16" spans="1:4" x14ac:dyDescent="0.3">
      <c r="A16">
        <v>2</v>
      </c>
      <c r="B16">
        <f>INDEX(MarketTable[Market Rate], $B$2) * 0.25</f>
        <v>1.2500000000000001E-2</v>
      </c>
      <c r="C16">
        <f>LogLinearDF(CalcTable[[#This Row],[Time(T)]], MarketTable[Node(Y)], MarketTable[Solved Forward])</f>
        <v>0.90483741803595952</v>
      </c>
      <c r="D16">
        <f>CalcTable[[#This Row],[CashFlow]]*CalcTable[[#This Row],[DF]]</f>
        <v>1.1310467725449495E-2</v>
      </c>
    </row>
    <row r="17" spans="1:4" x14ac:dyDescent="0.3">
      <c r="A17">
        <v>2.25</v>
      </c>
      <c r="B17">
        <f>INDEX(MarketTable[Market Rate], $B$2) * 0.25</f>
        <v>1.2500000000000001E-2</v>
      </c>
      <c r="C17">
        <f>LogLinearDF(CalcTable[[#This Row],[Time(T)]], MarketTable[Node(Y)], MarketTable[Solved Forward])</f>
        <v>0.89359734710851568</v>
      </c>
      <c r="D17">
        <f>CalcTable[[#This Row],[CashFlow]]*CalcTable[[#This Row],[DF]]</f>
        <v>1.1169966838856446E-2</v>
      </c>
    </row>
    <row r="18" spans="1:4" x14ac:dyDescent="0.3">
      <c r="A18">
        <v>2.5</v>
      </c>
      <c r="B18">
        <f>INDEX(MarketTable[Market Rate], $B$2) * 0.25</f>
        <v>1.2500000000000001E-2</v>
      </c>
      <c r="C18">
        <f>LogLinearDF(CalcTable[[#This Row],[Time(T)]], MarketTable[Node(Y)], MarketTable[Solved Forward])</f>
        <v>0.88249690258459546</v>
      </c>
      <c r="D18">
        <f>CalcTable[[#This Row],[CashFlow]]*CalcTable[[#This Row],[DF]]</f>
        <v>1.1031211282307444E-2</v>
      </c>
    </row>
    <row r="19" spans="1:4" x14ac:dyDescent="0.3">
      <c r="A19">
        <v>2.75</v>
      </c>
      <c r="B19">
        <f>INDEX(MarketTable[Market Rate], $B$2) * 0.25</f>
        <v>1.2500000000000001E-2</v>
      </c>
      <c r="C19">
        <f>LogLinearDF(CalcTable[[#This Row],[Time(T)]], MarketTable[Node(Y)], MarketTable[Solved Forward])</f>
        <v>0.87153434999715784</v>
      </c>
      <c r="D19">
        <f>CalcTable[[#This Row],[CashFlow]]*CalcTable[[#This Row],[DF]]</f>
        <v>1.0894179374964473E-2</v>
      </c>
    </row>
    <row r="20" spans="1:4" x14ac:dyDescent="0.3">
      <c r="A20">
        <v>3</v>
      </c>
      <c r="B20">
        <f>INDEX(MarketTable[Market Rate], $B$2) * 0.25</f>
        <v>1.2500000000000001E-2</v>
      </c>
      <c r="C20">
        <f>LogLinearDF(CalcTable[[#This Row],[Time(T)]], MarketTable[Node(Y)], MarketTable[Solved Forward])</f>
        <v>0.86070797642505781</v>
      </c>
      <c r="D20">
        <f>CalcTable[[#This Row],[CashFlow]]*CalcTable[[#This Row],[DF]]</f>
        <v>1.0758849705313224E-2</v>
      </c>
    </row>
    <row r="21" spans="1:4" x14ac:dyDescent="0.3">
      <c r="A21">
        <v>3.25</v>
      </c>
      <c r="B21">
        <f>INDEX(MarketTable[Market Rate], $B$2) * 0.25</f>
        <v>1.2500000000000001E-2</v>
      </c>
      <c r="C21">
        <f>LogLinearDF(CalcTable[[#This Row],[Time(T)]], MarketTable[Node(Y)], MarketTable[Solved Forward])</f>
        <v>0.85001609022539815</v>
      </c>
      <c r="D21">
        <f>CalcTable[[#This Row],[CashFlow]]*CalcTable[[#This Row],[DF]]</f>
        <v>1.0625201127817478E-2</v>
      </c>
    </row>
    <row r="22" spans="1:4" x14ac:dyDescent="0.3">
      <c r="A22">
        <v>3.5</v>
      </c>
      <c r="B22">
        <f>INDEX(MarketTable[Market Rate], $B$2) * 0.25</f>
        <v>1.2500000000000001E-2</v>
      </c>
      <c r="C22">
        <f>LogLinearDF(CalcTable[[#This Row],[Time(T)]], MarketTable[Node(Y)], MarketTable[Solved Forward])</f>
        <v>0.83945702076920736</v>
      </c>
      <c r="D22">
        <f>CalcTable[[#This Row],[CashFlow]]*CalcTable[[#This Row],[DF]]</f>
        <v>1.0493212759615093E-2</v>
      </c>
    </row>
    <row r="23" spans="1:4" x14ac:dyDescent="0.3">
      <c r="A23">
        <v>3.75</v>
      </c>
      <c r="B23">
        <f>INDEX(MarketTable[Market Rate], $B$2) * 0.25</f>
        <v>1.2500000000000001E-2</v>
      </c>
      <c r="C23">
        <f>LogLinearDF(CalcTable[[#This Row],[Time(T)]], MarketTable[Node(Y)], MarketTable[Solved Forward])</f>
        <v>0.82902911818040037</v>
      </c>
      <c r="D23">
        <f>CalcTable[[#This Row],[CashFlow]]*CalcTable[[#This Row],[DF]]</f>
        <v>1.0362863977255006E-2</v>
      </c>
    </row>
    <row r="24" spans="1:4" x14ac:dyDescent="0.3">
      <c r="A24">
        <v>4</v>
      </c>
      <c r="B24">
        <f>INDEX(MarketTable[Market Rate], $B$2) * 0.25</f>
        <v>1.2500000000000001E-2</v>
      </c>
      <c r="C24">
        <f>LogLinearDF(CalcTable[[#This Row],[Time(T)]], MarketTable[Node(Y)], MarketTable[Solved Forward])</f>
        <v>0.81873075307798182</v>
      </c>
      <c r="D24">
        <f>CalcTable[[#This Row],[CashFlow]]*CalcTable[[#This Row],[DF]]</f>
        <v>1.0234134413474774E-2</v>
      </c>
    </row>
    <row r="25" spans="1:4" x14ac:dyDescent="0.3">
      <c r="A25">
        <v>4.25</v>
      </c>
      <c r="B25">
        <f>INDEX(MarketTable[Market Rate], $B$2) * 0.25</f>
        <v>1.2500000000000001E-2</v>
      </c>
      <c r="C25">
        <f>LogLinearDF(CalcTable[[#This Row],[Time(T)]], MarketTable[Node(Y)], MarketTable[Solved Forward])</f>
        <v>0.80856031632145242</v>
      </c>
      <c r="D25">
        <f>CalcTable[[#This Row],[CashFlow]]*CalcTable[[#This Row],[DF]]</f>
        <v>1.0107003954018156E-2</v>
      </c>
    </row>
    <row r="26" spans="1:4" x14ac:dyDescent="0.3">
      <c r="A26">
        <v>4.5</v>
      </c>
      <c r="B26">
        <f>INDEX(MarketTable[Market Rate], $B$2) * 0.25</f>
        <v>1.2500000000000001E-2</v>
      </c>
      <c r="C26">
        <f>LogLinearDF(CalcTable[[#This Row],[Time(T)]], MarketTable[Node(Y)], MarketTable[Solved Forward])</f>
        <v>0.79851621875937706</v>
      </c>
      <c r="D26">
        <f>CalcTable[[#This Row],[CashFlow]]*CalcTable[[#This Row],[DF]]</f>
        <v>9.9814527344922136E-3</v>
      </c>
    </row>
    <row r="27" spans="1:4" x14ac:dyDescent="0.3">
      <c r="A27">
        <v>4.75</v>
      </c>
      <c r="B27">
        <f>INDEX(MarketTable[Market Rate], $B$2) * 0.25</f>
        <v>1.2500000000000001E-2</v>
      </c>
      <c r="C27">
        <f>LogLinearDF(CalcTable[[#This Row],[Time(T)]], MarketTable[Node(Y)], MarketTable[Solved Forward])</f>
        <v>0.78859689098107666</v>
      </c>
      <c r="D27">
        <f>CalcTable[[#This Row],[CashFlow]]*CalcTable[[#This Row],[DF]]</f>
        <v>9.8574611372634589E-3</v>
      </c>
    </row>
    <row r="28" spans="1:4" x14ac:dyDescent="0.3">
      <c r="A28">
        <v>5</v>
      </c>
      <c r="B28">
        <f>INDEX(MarketTable[Market Rate], $B$2) * 0.25</f>
        <v>1.2500000000000001E-2</v>
      </c>
      <c r="C28">
        <f>LogLinearDF(CalcTable[[#This Row],[Time(T)]], MarketTable[Node(Y)], MarketTable[Solved Forward])</f>
        <v>0.77880078307140488</v>
      </c>
      <c r="D28">
        <f>CalcTable[[#This Row],[CashFlow]]*CalcTable[[#This Row],[DF]]</f>
        <v>9.7350097883925624E-3</v>
      </c>
    </row>
    <row r="29" spans="1:4" x14ac:dyDescent="0.3">
      <c r="A29">
        <v>5.25</v>
      </c>
      <c r="B29">
        <f>INDEX(MarketTable[Market Rate], $B$2) * 0.25</f>
        <v>1.2500000000000001E-2</v>
      </c>
      <c r="C29">
        <f>LogLinearDF(CalcTable[[#This Row],[Time(T)]], MarketTable[Node(Y)], MarketTable[Solved Forward])</f>
        <v>0.76912636436857051</v>
      </c>
      <c r="D29">
        <f>CalcTable[[#This Row],[CashFlow]]*CalcTable[[#This Row],[DF]]</f>
        <v>9.6140795546071321E-3</v>
      </c>
    </row>
    <row r="30" spans="1:4" x14ac:dyDescent="0.3">
      <c r="A30">
        <v>5.5</v>
      </c>
      <c r="B30">
        <f>INDEX(MarketTable[Market Rate], $B$2) * 0.25</f>
        <v>1.2500000000000001E-2</v>
      </c>
      <c r="C30">
        <f>LogLinearDF(CalcTable[[#This Row],[Time(T)]], MarketTable[Node(Y)], MarketTable[Solved Forward])</f>
        <v>0.75957212322496848</v>
      </c>
      <c r="D30">
        <f>CalcTable[[#This Row],[CashFlow]]*CalcTable[[#This Row],[DF]]</f>
        <v>9.4946515403121073E-3</v>
      </c>
    </row>
    <row r="31" spans="1:4" x14ac:dyDescent="0.3">
      <c r="A31">
        <v>5.75</v>
      </c>
      <c r="B31">
        <f>INDEX(MarketTable[Market Rate], $B$2) * 0.25</f>
        <v>1.2500000000000001E-2</v>
      </c>
      <c r="C31">
        <f>LogLinearDF(CalcTable[[#This Row],[Time(T)]], MarketTable[Node(Y)], MarketTable[Solved Forward])</f>
        <v>0.75013656677098184</v>
      </c>
      <c r="D31">
        <f>CalcTable[[#This Row],[CashFlow]]*CalcTable[[#This Row],[DF]]</f>
        <v>9.3767070846372744E-3</v>
      </c>
    </row>
    <row r="32" spans="1:4" x14ac:dyDescent="0.3">
      <c r="A32">
        <v>6</v>
      </c>
      <c r="B32">
        <f>INDEX(MarketTable[Market Rate], $B$2) * 0.25</f>
        <v>1.2500000000000001E-2</v>
      </c>
      <c r="C32">
        <f>LogLinearDF(CalcTable[[#This Row],[Time(T)]], MarketTable[Node(Y)], MarketTable[Solved Forward])</f>
        <v>0.74081822068171788</v>
      </c>
      <c r="D32">
        <f>CalcTable[[#This Row],[CashFlow]]*CalcTable[[#This Row],[DF]]</f>
        <v>9.2602277585214741E-3</v>
      </c>
    </row>
    <row r="33" spans="1:4" x14ac:dyDescent="0.3">
      <c r="A33">
        <v>6.25</v>
      </c>
      <c r="B33">
        <f>INDEX(MarketTable[Market Rate], $B$2) * 0.25</f>
        <v>1.2500000000000001E-2</v>
      </c>
      <c r="C33">
        <f>LogLinearDF(CalcTable[[#This Row],[Time(T)]], MarketTable[Node(Y)], MarketTable[Solved Forward])</f>
        <v>0.73161562894664178</v>
      </c>
      <c r="D33">
        <f>CalcTable[[#This Row],[CashFlow]]*CalcTable[[#This Row],[DF]]</f>
        <v>9.1451953618330219E-3</v>
      </c>
    </row>
    <row r="34" spans="1:4" x14ac:dyDescent="0.3">
      <c r="A34">
        <v>6.5</v>
      </c>
      <c r="B34">
        <f>INDEX(MarketTable[Market Rate], $B$2) * 0.25</f>
        <v>1.2500000000000001E-2</v>
      </c>
      <c r="C34">
        <f>LogLinearDF(CalcTable[[#This Row],[Time(T)]], MarketTable[Node(Y)], MarketTable[Solved Forward])</f>
        <v>0.72252735364207221</v>
      </c>
      <c r="D34">
        <f>CalcTable[[#This Row],[CashFlow]]*CalcTable[[#This Row],[DF]]</f>
        <v>9.0315919205259023E-3</v>
      </c>
    </row>
    <row r="35" spans="1:4" x14ac:dyDescent="0.3">
      <c r="A35">
        <v>6.75</v>
      </c>
      <c r="B35">
        <f>INDEX(MarketTable[Market Rate], $B$2) * 0.25</f>
        <v>1.2500000000000001E-2</v>
      </c>
      <c r="C35">
        <f>LogLinearDF(CalcTable[[#This Row],[Time(T)]], MarketTable[Node(Y)], MarketTable[Solved Forward])</f>
        <v>0.71355197470650245</v>
      </c>
      <c r="D35">
        <f>CalcTable[[#This Row],[CashFlow]]*CalcTable[[#This Row],[DF]]</f>
        <v>8.9193996838312813E-3</v>
      </c>
    </row>
    <row r="36" spans="1:4" x14ac:dyDescent="0.3">
      <c r="A36">
        <v>7</v>
      </c>
      <c r="B36">
        <f>INDEX(MarketTable[Market Rate], $B$2) * 0.25</f>
        <v>1.2500000000000001E-2</v>
      </c>
      <c r="C36">
        <f>LogLinearDF(CalcTable[[#This Row],[Time(T)]], MarketTable[Node(Y)], MarketTable[Solved Forward])</f>
        <v>0.70468808971871344</v>
      </c>
      <c r="D36">
        <f>CalcTable[[#This Row],[CashFlow]]*CalcTable[[#This Row],[DF]]</f>
        <v>8.8086011214839176E-3</v>
      </c>
    </row>
    <row r="37" spans="1:4" x14ac:dyDescent="0.3">
      <c r="A37">
        <v>7.25</v>
      </c>
      <c r="B37">
        <f>INDEX(MarketTable[Market Rate], $B$2) * 0.25</f>
        <v>1.2500000000000001E-2</v>
      </c>
      <c r="C37">
        <f>LogLinearDF(CalcTable[[#This Row],[Time(T)]], MarketTable[Node(Y)], MarketTable[Solved Forward])</f>
        <v>0.695934313678642</v>
      </c>
      <c r="D37">
        <f>CalcTable[[#This Row],[CashFlow]]*CalcTable[[#This Row],[DF]]</f>
        <v>8.6991789209830261E-3</v>
      </c>
    </row>
    <row r="38" spans="1:4" x14ac:dyDescent="0.3">
      <c r="A38">
        <v>7.5</v>
      </c>
      <c r="B38">
        <f>INDEX(MarketTable[Market Rate], $B$2) * 0.25</f>
        <v>1.2500000000000001E-2</v>
      </c>
      <c r="C38">
        <f>LogLinearDF(CalcTable[[#This Row],[Time(T)]], MarketTable[Node(Y)], MarketTable[Solved Forward])</f>
        <v>0.68728927879097212</v>
      </c>
      <c r="D38">
        <f>CalcTable[[#This Row],[CashFlow]]*CalcTable[[#This Row],[DF]]</f>
        <v>8.5911159848871526E-3</v>
      </c>
    </row>
    <row r="39" spans="1:4" x14ac:dyDescent="0.3">
      <c r="A39">
        <v>7.75</v>
      </c>
      <c r="B39">
        <f>INDEX(MarketTable[Market Rate], $B$2) * 0.25</f>
        <v>1.2500000000000001E-2</v>
      </c>
      <c r="C39">
        <f>LogLinearDF(CalcTable[[#This Row],[Time(T)]], MarketTable[Node(Y)], MarketTable[Solved Forward])</f>
        <v>0.67875163425141438</v>
      </c>
      <c r="D39">
        <f>CalcTable[[#This Row],[CashFlow]]*CalcTable[[#This Row],[DF]]</f>
        <v>8.4843954281426798E-3</v>
      </c>
    </row>
    <row r="40" spans="1:4" x14ac:dyDescent="0.3">
      <c r="A40">
        <v>8</v>
      </c>
      <c r="B40">
        <f>INDEX(MarketTable[Market Rate], $B$2) * 0.25</f>
        <v>1.2500000000000001E-2</v>
      </c>
      <c r="C40">
        <f>LogLinearDF(CalcTable[[#This Row],[Time(T)]], MarketTable[Node(Y)], MarketTable[Solved Forward])</f>
        <v>0.67032004603563933</v>
      </c>
      <c r="D40">
        <f>CalcTable[[#This Row],[CashFlow]]*CalcTable[[#This Row],[DF]]</f>
        <v>8.3790005754454926E-3</v>
      </c>
    </row>
    <row r="41" spans="1:4" x14ac:dyDescent="0.3">
      <c r="A41">
        <v>8.25</v>
      </c>
      <c r="B41">
        <f>INDEX(MarketTable[Market Rate], $B$2) * 0.25</f>
        <v>1.2500000000000001E-2</v>
      </c>
      <c r="C41">
        <f>LogLinearDF(CalcTable[[#This Row],[Time(T)]], MarketTable[Node(Y)], MarketTable[Solved Forward])</f>
        <v>0.66199319669083401</v>
      </c>
      <c r="D41">
        <f>CalcTable[[#This Row],[CashFlow]]*CalcTable[[#This Row],[DF]]</f>
        <v>8.2749149586354258E-3</v>
      </c>
    </row>
    <row r="42" spans="1:4" x14ac:dyDescent="0.3">
      <c r="A42">
        <v>8.5</v>
      </c>
      <c r="B42">
        <f>INDEX(MarketTable[Market Rate], $B$2) * 0.25</f>
        <v>1.2500000000000001E-2</v>
      </c>
      <c r="C42">
        <f>LogLinearDF(CalcTable[[#This Row],[Time(T)]], MarketTable[Node(Y)], MarketTable[Solved Forward])</f>
        <v>0.65376978512984729</v>
      </c>
      <c r="D42">
        <f>CalcTable[[#This Row],[CashFlow]]*CalcTable[[#This Row],[DF]]</f>
        <v>8.1721223141230908E-3</v>
      </c>
    </row>
    <row r="43" spans="1:4" x14ac:dyDescent="0.3">
      <c r="A43">
        <v>8.75</v>
      </c>
      <c r="B43">
        <f>INDEX(MarketTable[Market Rate], $B$2) * 0.25</f>
        <v>1.2500000000000001E-2</v>
      </c>
      <c r="C43">
        <f>LogLinearDF(CalcTable[[#This Row],[Time(T)]], MarketTable[Node(Y)], MarketTable[Solved Forward])</f>
        <v>0.64564852642789206</v>
      </c>
      <c r="D43">
        <f>CalcTable[[#This Row],[CashFlow]]*CalcTable[[#This Row],[DF]]</f>
        <v>8.0706065803486503E-3</v>
      </c>
    </row>
    <row r="44" spans="1:4" x14ac:dyDescent="0.3">
      <c r="A44">
        <v>9</v>
      </c>
      <c r="B44">
        <f>INDEX(MarketTable[Market Rate], $B$2) * 0.25</f>
        <v>1.2500000000000001E-2</v>
      </c>
      <c r="C44">
        <f>LogLinearDF(CalcTable[[#This Row],[Time(T)]], MarketTable[Node(Y)], MarketTable[Solved Forward])</f>
        <v>0.63762815162177322</v>
      </c>
      <c r="D44">
        <f>CalcTable[[#This Row],[CashFlow]]*CalcTable[[#This Row],[DF]]</f>
        <v>7.9703518952721659E-3</v>
      </c>
    </row>
    <row r="45" spans="1:4" x14ac:dyDescent="0.3">
      <c r="A45">
        <v>9.25</v>
      </c>
      <c r="B45">
        <f>INDEX(MarketTable[Market Rate], $B$2) * 0.25</f>
        <v>1.2500000000000001E-2</v>
      </c>
      <c r="C45">
        <f>LogLinearDF(CalcTable[[#This Row],[Time(T)]], MarketTable[Node(Y)], MarketTable[Solved Forward])</f>
        <v>0.62970740751161003</v>
      </c>
      <c r="D45">
        <f>CalcTable[[#This Row],[CashFlow]]*CalcTable[[#This Row],[DF]]</f>
        <v>7.8713425938951257E-3</v>
      </c>
    </row>
    <row r="46" spans="1:4" x14ac:dyDescent="0.3">
      <c r="A46">
        <v>9.5</v>
      </c>
      <c r="B46">
        <f>INDEX(MarketTable[Market Rate], $B$2) * 0.25</f>
        <v>1.2500000000000001E-2</v>
      </c>
      <c r="C46">
        <f>LogLinearDF(CalcTable[[#This Row],[Time(T)]], MarketTable[Node(Y)], MarketTable[Solved Forward])</f>
        <v>0.62188505646502001</v>
      </c>
      <c r="D46">
        <f>CalcTable[[#This Row],[CashFlow]]*CalcTable[[#This Row],[DF]]</f>
        <v>7.7735632058127503E-3</v>
      </c>
    </row>
    <row r="47" spans="1:4" x14ac:dyDescent="0.3">
      <c r="A47">
        <v>9.75</v>
      </c>
      <c r="B47">
        <f>INDEX(MarketTable[Market Rate], $B$2) * 0.25</f>
        <v>1.2500000000000001E-2</v>
      </c>
      <c r="C47">
        <f>LogLinearDF(CalcTable[[#This Row],[Time(T)]], MarketTable[Node(Y)], MarketTable[Solved Forward])</f>
        <v>0.6141598762237378</v>
      </c>
      <c r="D47">
        <f>CalcTable[[#This Row],[CashFlow]]*CalcTable[[#This Row],[DF]]</f>
        <v>7.6769984527967228E-3</v>
      </c>
    </row>
    <row r="48" spans="1:4" x14ac:dyDescent="0.3">
      <c r="A48">
        <v>10</v>
      </c>
      <c r="B48">
        <f>INDEX(MarketTable[Market Rate], $B$2) * 0.25</f>
        <v>1.2500000000000001E-2</v>
      </c>
      <c r="C48">
        <f>LogLinearDF(CalcTable[[#This Row],[Time(T)]], MarketTable[Node(Y)], MarketTable[Solved Forward])</f>
        <v>0.60653065971263342</v>
      </c>
      <c r="D48">
        <f>CalcTable[[#This Row],[CashFlow]]*CalcTable[[#This Row],[DF]]</f>
        <v>7.5816332464079183E-3</v>
      </c>
    </row>
    <row r="49" spans="1:4" x14ac:dyDescent="0.3">
      <c r="A49">
        <v>10.25</v>
      </c>
      <c r="B49">
        <f>INDEX(MarketTable[Market Rate], $B$2) * 0.25</f>
        <v>1.2500000000000001E-2</v>
      </c>
      <c r="C49">
        <f>LogLinearDF(CalcTable[[#This Row],[Time(T)]], MarketTable[Node(Y)], MarketTable[Solved Forward])</f>
        <v>0.59899621485110532</v>
      </c>
      <c r="D49">
        <f>CalcTable[[#This Row],[CashFlow]]*CalcTable[[#This Row],[DF]]</f>
        <v>7.4874526856388169E-3</v>
      </c>
    </row>
    <row r="50" spans="1:4" x14ac:dyDescent="0.3">
      <c r="A50">
        <v>10.5</v>
      </c>
      <c r="B50">
        <f>INDEX(MarketTable[Market Rate], $B$2) * 0.25</f>
        <v>1.2500000000000001E-2</v>
      </c>
      <c r="C50">
        <f>LogLinearDF(CalcTable[[#This Row],[Time(T)]], MarketTable[Node(Y)], MarketTable[Solved Forward])</f>
        <v>0.59155536436681511</v>
      </c>
      <c r="D50">
        <f>CalcTable[[#This Row],[CashFlow]]*CalcTable[[#This Row],[DF]]</f>
        <v>7.394442054585189E-3</v>
      </c>
    </row>
    <row r="51" spans="1:4" x14ac:dyDescent="0.3">
      <c r="A51">
        <v>10.75</v>
      </c>
      <c r="B51">
        <f>INDEX(MarketTable[Market Rate], $B$2) * 0.25</f>
        <v>1.2500000000000001E-2</v>
      </c>
      <c r="C51">
        <f>LogLinearDF(CalcTable[[#This Row],[Time(T)]], MarketTable[Node(Y)], MarketTable[Solved Forward])</f>
        <v>0.58420694561173581</v>
      </c>
      <c r="D51">
        <f>CalcTable[[#This Row],[CashFlow]]*CalcTable[[#This Row],[DF]]</f>
        <v>7.3025868201466978E-3</v>
      </c>
    </row>
    <row r="52" spans="1:4" x14ac:dyDescent="0.3">
      <c r="A52">
        <v>11</v>
      </c>
      <c r="B52">
        <f>INDEX(MarketTable[Market Rate], $B$2) * 0.25</f>
        <v>1.2500000000000001E-2</v>
      </c>
      <c r="C52">
        <f>LogLinearDF(CalcTable[[#This Row],[Time(T)]], MarketTable[Node(Y)], MarketTable[Solved Forward])</f>
        <v>0.57694981038048665</v>
      </c>
      <c r="D52">
        <f>CalcTable[[#This Row],[CashFlow]]*CalcTable[[#This Row],[DF]]</f>
        <v>7.2118726297560835E-3</v>
      </c>
    </row>
    <row r="53" spans="1:4" x14ac:dyDescent="0.3">
      <c r="A53">
        <v>11.25</v>
      </c>
      <c r="B53">
        <f>INDEX(MarketTable[Market Rate], $B$2) * 0.25</f>
        <v>1.2500000000000001E-2</v>
      </c>
      <c r="C53">
        <f>LogLinearDF(CalcTable[[#This Row],[Time(T)]], MarketTable[Node(Y)], MarketTable[Solved Forward])</f>
        <v>0.56978282473092301</v>
      </c>
      <c r="D53">
        <f>CalcTable[[#This Row],[CashFlow]]*CalcTable[[#This Row],[DF]]</f>
        <v>7.1222853091365383E-3</v>
      </c>
    </row>
    <row r="54" spans="1:4" x14ac:dyDescent="0.3">
      <c r="A54">
        <v>11.5</v>
      </c>
      <c r="B54">
        <f>INDEX(MarketTable[Market Rate], $B$2) * 0.25</f>
        <v>1.2500000000000001E-2</v>
      </c>
      <c r="C54">
        <f>LogLinearDF(CalcTable[[#This Row],[Time(T)]], MarketTable[Node(Y)], MarketTable[Solved Forward])</f>
        <v>0.56270486880695569</v>
      </c>
      <c r="D54">
        <f>CalcTable[[#This Row],[CashFlow]]*CalcTable[[#This Row],[DF]]</f>
        <v>7.0338108600869467E-3</v>
      </c>
    </row>
    <row r="55" spans="1:4" x14ac:dyDescent="0.3">
      <c r="A55">
        <v>11.75</v>
      </c>
      <c r="B55">
        <f>INDEX(MarketTable[Market Rate], $B$2) * 0.25</f>
        <v>1.2500000000000001E-2</v>
      </c>
      <c r="C55">
        <f>LogLinearDF(CalcTable[[#This Row],[Time(T)]], MarketTable[Node(Y)], MarketTable[Solved Forward])</f>
        <v>0.55571483666357135</v>
      </c>
      <c r="D55">
        <f>CalcTable[[#This Row],[CashFlow]]*CalcTable[[#This Row],[DF]]</f>
        <v>6.9464354582946426E-3</v>
      </c>
    </row>
    <row r="56" spans="1:4" x14ac:dyDescent="0.3">
      <c r="A56">
        <v>12</v>
      </c>
      <c r="B56">
        <f>INDEX(MarketTable[Market Rate], $B$2) * 0.25</f>
        <v>1.2500000000000001E-2</v>
      </c>
      <c r="C56">
        <f>LogLinearDF(CalcTable[[#This Row],[Time(T)]], MarketTable[Node(Y)], MarketTable[Solved Forward])</f>
        <v>0.54881163609402639</v>
      </c>
      <c r="D56">
        <f>CalcTable[[#This Row],[CashFlow]]*CalcTable[[#This Row],[DF]]</f>
        <v>6.8601454511753304E-3</v>
      </c>
    </row>
    <row r="57" spans="1:4" x14ac:dyDescent="0.3">
      <c r="A57">
        <v>12.25</v>
      </c>
      <c r="B57">
        <f>INDEX(MarketTable[Market Rate], $B$2) * 0.25</f>
        <v>1.2500000000000001E-2</v>
      </c>
      <c r="C57">
        <f>LogLinearDF(CalcTable[[#This Row],[Time(T)]], MarketTable[Node(Y)], MarketTable[Solved Forward])</f>
        <v>0.54199418845918712</v>
      </c>
      <c r="D57">
        <f>CalcTable[[#This Row],[CashFlow]]*CalcTable[[#This Row],[DF]]</f>
        <v>6.7749273557398395E-3</v>
      </c>
    </row>
    <row r="58" spans="1:4" x14ac:dyDescent="0.3">
      <c r="A58">
        <v>12.5</v>
      </c>
      <c r="B58">
        <f>INDEX(MarketTable[Market Rate], $B$2) * 0.25</f>
        <v>1.2500000000000001E-2</v>
      </c>
      <c r="C58">
        <f>LogLinearDF(CalcTable[[#This Row],[Time(T)]], MarketTable[Node(Y)], MarketTable[Solved Forward])</f>
        <v>0.53526142851899028</v>
      </c>
      <c r="D58">
        <f>CalcTable[[#This Row],[CashFlow]]*CalcTable[[#This Row],[DF]]</f>
        <v>6.6907678564873787E-3</v>
      </c>
    </row>
    <row r="59" spans="1:4" x14ac:dyDescent="0.3">
      <c r="A59">
        <v>12.75</v>
      </c>
      <c r="B59">
        <f>INDEX(MarketTable[Market Rate], $B$2) * 0.25</f>
        <v>1.2500000000000001E-2</v>
      </c>
      <c r="C59">
        <f>LogLinearDF(CalcTable[[#This Row],[Time(T)]], MarketTable[Node(Y)], MarketTable[Solved Forward])</f>
        <v>0.52861230426599726</v>
      </c>
      <c r="D59">
        <f>CalcTable[[#This Row],[CashFlow]]*CalcTable[[#This Row],[DF]]</f>
        <v>6.6076538033249662E-3</v>
      </c>
    </row>
    <row r="60" spans="1:4" x14ac:dyDescent="0.3">
      <c r="A60">
        <v>13</v>
      </c>
      <c r="B60">
        <f>INDEX(MarketTable[Market Rate], $B$2) * 0.25</f>
        <v>1.2500000000000001E-2</v>
      </c>
      <c r="C60">
        <f>LogLinearDF(CalcTable[[#This Row],[Time(T)]], MarketTable[Node(Y)], MarketTable[Solved Forward])</f>
        <v>0.52204577676101604</v>
      </c>
      <c r="D60">
        <f>CalcTable[[#This Row],[CashFlow]]*CalcTable[[#This Row],[DF]]</f>
        <v>6.5255722095127009E-3</v>
      </c>
    </row>
    <row r="61" spans="1:4" x14ac:dyDescent="0.3">
      <c r="A61">
        <v>13.25</v>
      </c>
      <c r="B61">
        <f>INDEX(MarketTable[Market Rate], $B$2) * 0.25</f>
        <v>1.2500000000000001E-2</v>
      </c>
      <c r="C61">
        <f>LogLinearDF(CalcTable[[#This Row],[Time(T)]], MarketTable[Node(Y)], MarketTable[Solved Forward])</f>
        <v>0.51556081997076397</v>
      </c>
      <c r="D61">
        <f>CalcTable[[#This Row],[CashFlow]]*CalcTable[[#This Row],[DF]]</f>
        <v>6.4445102496345497E-3</v>
      </c>
    </row>
    <row r="62" spans="1:4" x14ac:dyDescent="0.3">
      <c r="A62">
        <v>13.5</v>
      </c>
      <c r="B62">
        <f>INDEX(MarketTable[Market Rate], $B$2) * 0.25</f>
        <v>1.2500000000000001E-2</v>
      </c>
      <c r="C62">
        <f>LogLinearDF(CalcTable[[#This Row],[Time(T)]], MarketTable[Node(Y)], MarketTable[Solved Forward])</f>
        <v>0.50915642060754918</v>
      </c>
      <c r="D62">
        <f>CalcTable[[#This Row],[CashFlow]]*CalcTable[[#This Row],[DF]]</f>
        <v>6.3644552575943649E-3</v>
      </c>
    </row>
    <row r="63" spans="1:4" x14ac:dyDescent="0.3">
      <c r="A63">
        <v>13.75</v>
      </c>
      <c r="B63">
        <f>INDEX(MarketTable[Market Rate], $B$2) * 0.25</f>
        <v>1.2500000000000001E-2</v>
      </c>
      <c r="C63">
        <f>LogLinearDF(CalcTable[[#This Row],[Time(T)]], MarketTable[Node(Y)], MarketTable[Solved Forward])</f>
        <v>0.50283157797094091</v>
      </c>
      <c r="D63">
        <f>CalcTable[[#This Row],[CashFlow]]*CalcTable[[#This Row],[DF]]</f>
        <v>6.2853947246367618E-3</v>
      </c>
    </row>
    <row r="64" spans="1:4" x14ac:dyDescent="0.3">
      <c r="A64">
        <v>14</v>
      </c>
      <c r="B64">
        <f>INDEX(MarketTable[Market Rate], $B$2) * 0.25</f>
        <v>1.2500000000000001E-2</v>
      </c>
      <c r="C64">
        <f>LogLinearDF(CalcTable[[#This Row],[Time(T)]], MarketTable[Node(Y)], MarketTable[Solved Forward])</f>
        <v>0.49658530379140947</v>
      </c>
      <c r="D64">
        <f>CalcTable[[#This Row],[CashFlow]]*CalcTable[[#This Row],[DF]]</f>
        <v>6.2073162973926184E-3</v>
      </c>
    </row>
    <row r="65" spans="1:4" x14ac:dyDescent="0.3">
      <c r="A65">
        <v>14.25</v>
      </c>
      <c r="B65">
        <f>INDEX(MarketTable[Market Rate], $B$2) * 0.25</f>
        <v>1.2500000000000001E-2</v>
      </c>
      <c r="C65">
        <f>LogLinearDF(CalcTable[[#This Row],[Time(T)]], MarketTable[Node(Y)], MarketTable[Solved Forward])</f>
        <v>0.49041662207590614</v>
      </c>
      <c r="D65">
        <f>CalcTable[[#This Row],[CashFlow]]*CalcTable[[#This Row],[DF]]</f>
        <v>6.1302077759488273E-3</v>
      </c>
    </row>
    <row r="66" spans="1:4" x14ac:dyDescent="0.3">
      <c r="A66">
        <v>14.5</v>
      </c>
      <c r="B66">
        <f>INDEX(MarketTable[Market Rate], $B$2) * 0.25</f>
        <v>1.2500000000000001E-2</v>
      </c>
      <c r="C66">
        <f>LogLinearDF(CalcTable[[#This Row],[Time(T)]], MarketTable[Node(Y)], MarketTable[Solved Forward])</f>
        <v>0.48432456895536241</v>
      </c>
      <c r="D66">
        <f>CalcTable[[#This Row],[CashFlow]]*CalcTable[[#This Row],[DF]]</f>
        <v>6.0540571119420301E-3</v>
      </c>
    </row>
    <row r="67" spans="1:4" x14ac:dyDescent="0.3">
      <c r="A67">
        <v>14.75</v>
      </c>
      <c r="B67">
        <f>INDEX(MarketTable[Market Rate], $B$2) * 0.25</f>
        <v>1.2500000000000001E-2</v>
      </c>
      <c r="C67">
        <f>LogLinearDF(CalcTable[[#This Row],[Time(T)]], MarketTable[Node(Y)], MarketTable[Solved Forward])</f>
        <v>0.47830819253408408</v>
      </c>
      <c r="D67">
        <f>CalcTable[[#This Row],[CashFlow]]*CalcTable[[#This Row],[DF]]</f>
        <v>5.9788524066760511E-3</v>
      </c>
    </row>
    <row r="68" spans="1:4" x14ac:dyDescent="0.3">
      <c r="A68">
        <v>15</v>
      </c>
      <c r="B68">
        <f>INDEX(MarketTable[Market Rate], $B$2) * 0.25</f>
        <v>1.2500000000000001E-2</v>
      </c>
      <c r="C68">
        <f>LogLinearDF(CalcTable[[#This Row],[Time(T)]], MarketTable[Node(Y)], MarketTable[Solved Forward])</f>
        <v>0.47236655274101469</v>
      </c>
      <c r="D68">
        <f>CalcTable[[#This Row],[CashFlow]]*CalcTable[[#This Row],[DF]]</f>
        <v>5.9045819092626841E-3</v>
      </c>
    </row>
    <row r="69" spans="1:4" x14ac:dyDescent="0.3">
      <c r="A69">
        <v>15.25</v>
      </c>
      <c r="B69">
        <f>INDEX(MarketTable[Market Rate], $B$2) * 0.25</f>
        <v>1.2500000000000001E-2</v>
      </c>
      <c r="C69">
        <f>LogLinearDF(CalcTable[[#This Row],[Time(T)]], MarketTable[Node(Y)], MarketTable[Solved Forward])</f>
        <v>0.4664987211828483</v>
      </c>
      <c r="D69">
        <f>CalcTable[[#This Row],[CashFlow]]*CalcTable[[#This Row],[DF]]</f>
        <v>5.8312340147856044E-3</v>
      </c>
    </row>
    <row r="70" spans="1:4" x14ac:dyDescent="0.3">
      <c r="A70">
        <v>15.5</v>
      </c>
      <c r="B70">
        <f>INDEX(MarketTable[Market Rate], $B$2) * 0.25</f>
        <v>1.2500000000000001E-2</v>
      </c>
      <c r="C70">
        <f>LogLinearDF(CalcTable[[#This Row],[Time(T)]], MarketTable[Node(Y)], MarketTable[Solved Forward])</f>
        <v>0.46070378099896581</v>
      </c>
      <c r="D70">
        <f>CalcTable[[#This Row],[CashFlow]]*CalcTable[[#This Row],[DF]]</f>
        <v>5.7587972624870733E-3</v>
      </c>
    </row>
    <row r="71" spans="1:4" x14ac:dyDescent="0.3">
      <c r="A71">
        <v>15.75</v>
      </c>
      <c r="B71">
        <f>INDEX(MarketTable[Market Rate], $B$2) * 0.25</f>
        <v>1.2500000000000001E-2</v>
      </c>
      <c r="C71">
        <f>LogLinearDF(CalcTable[[#This Row],[Time(T)]], MarketTable[Node(Y)], MarketTable[Solved Forward])</f>
        <v>0.45498082671817347</v>
      </c>
      <c r="D71">
        <f>CalcTable[[#This Row],[CashFlow]]*CalcTable[[#This Row],[DF]]</f>
        <v>5.6872603339771684E-3</v>
      </c>
    </row>
    <row r="72" spans="1:4" x14ac:dyDescent="0.3">
      <c r="A72">
        <v>16</v>
      </c>
      <c r="B72">
        <f>INDEX(MarketTable[Market Rate], $B$2) * 0.25</f>
        <v>1.2500000000000001E-2</v>
      </c>
      <c r="C72">
        <f>LogLinearDF(CalcTable[[#This Row],[Time(T)]], MarketTable[Node(Y)], MarketTable[Solved Forward])</f>
        <v>0.44932896411722156</v>
      </c>
      <c r="D72">
        <f>CalcTable[[#This Row],[CashFlow]]*CalcTable[[#This Row],[DF]]</f>
        <v>5.6166120514652695E-3</v>
      </c>
    </row>
    <row r="73" spans="1:4" x14ac:dyDescent="0.3">
      <c r="A73">
        <v>16.25</v>
      </c>
      <c r="B73">
        <f>INDEX(MarketTable[Market Rate], $B$2) * 0.25</f>
        <v>1.2500000000000001E-2</v>
      </c>
      <c r="C73">
        <f>LogLinearDF(CalcTable[[#This Row],[Time(T)]], MarketTable[Node(Y)], MarketTable[Solved Forward])</f>
        <v>0.44374731008107982</v>
      </c>
      <c r="D73">
        <f>CalcTable[[#This Row],[CashFlow]]*CalcTable[[#This Row],[DF]]</f>
        <v>5.5468413760134984E-3</v>
      </c>
    </row>
    <row r="74" spans="1:4" x14ac:dyDescent="0.3">
      <c r="A74">
        <v>16.5</v>
      </c>
      <c r="B74">
        <f>INDEX(MarketTable[Market Rate], $B$2) * 0.25</f>
        <v>1.2500000000000001E-2</v>
      </c>
      <c r="C74">
        <f>LogLinearDF(CalcTable[[#This Row],[Time(T)]], MarketTable[Node(Y)], MarketTable[Solved Forward])</f>
        <v>0.43823499246494918</v>
      </c>
      <c r="D74">
        <f>CalcTable[[#This Row],[CashFlow]]*CalcTable[[#This Row],[DF]]</f>
        <v>5.4779374058118654E-3</v>
      </c>
    </row>
    <row r="75" spans="1:4" x14ac:dyDescent="0.3">
      <c r="A75">
        <v>16.75</v>
      </c>
      <c r="B75">
        <f>INDEX(MarketTable[Market Rate], $B$2) * 0.25</f>
        <v>1.2500000000000001E-2</v>
      </c>
      <c r="C75">
        <f>LogLinearDF(CalcTable[[#This Row],[Time(T)]], MarketTable[Node(Y)], MarketTable[Solved Forward])</f>
        <v>0.43279114995798723</v>
      </c>
      <c r="D75">
        <f>CalcTable[[#This Row],[CashFlow]]*CalcTable[[#This Row],[DF]]</f>
        <v>5.4098893744748411E-3</v>
      </c>
    </row>
    <row r="76" spans="1:4" x14ac:dyDescent="0.3">
      <c r="A76">
        <v>17</v>
      </c>
      <c r="B76">
        <f>INDEX(MarketTable[Market Rate], $B$2) * 0.25</f>
        <v>1.2500000000000001E-2</v>
      </c>
      <c r="C76">
        <f>LogLinearDF(CalcTable[[#This Row],[Time(T)]], MarketTable[Node(Y)], MarketTable[Solved Forward])</f>
        <v>0.42741493194872665</v>
      </c>
      <c r="D76">
        <f>CalcTable[[#This Row],[CashFlow]]*CalcTable[[#This Row],[DF]]</f>
        <v>5.3426866493590831E-3</v>
      </c>
    </row>
    <row r="77" spans="1:4" x14ac:dyDescent="0.3">
      <c r="A77">
        <v>17.25</v>
      </c>
      <c r="B77">
        <f>INDEX(MarketTable[Market Rate], $B$2) * 0.25</f>
        <v>1.2500000000000001E-2</v>
      </c>
      <c r="C77">
        <f>LogLinearDF(CalcTable[[#This Row],[Time(T)]], MarketTable[Node(Y)], MarketTable[Solved Forward])</f>
        <v>0.42210549839216549</v>
      </c>
      <c r="D77">
        <f>CalcTable[[#This Row],[CashFlow]]*CalcTable[[#This Row],[DF]]</f>
        <v>5.2763187299020688E-3</v>
      </c>
    </row>
    <row r="78" spans="1:4" x14ac:dyDescent="0.3">
      <c r="A78">
        <v>17.5</v>
      </c>
      <c r="B78">
        <f>INDEX(MarketTable[Market Rate], $B$2) * 0.25</f>
        <v>1.2500000000000001E-2</v>
      </c>
      <c r="C78">
        <f>LogLinearDF(CalcTable[[#This Row],[Time(T)]], MarketTable[Node(Y)], MarketTable[Solved Forward])</f>
        <v>0.41686201967850833</v>
      </c>
      <c r="D78">
        <f>CalcTable[[#This Row],[CashFlow]]*CalcTable[[#This Row],[DF]]</f>
        <v>5.2107752459813542E-3</v>
      </c>
    </row>
    <row r="79" spans="1:4" x14ac:dyDescent="0.3">
      <c r="A79">
        <v>17.75</v>
      </c>
      <c r="B79">
        <f>INDEX(MarketTable[Market Rate], $B$2) * 0.25</f>
        <v>1.2500000000000001E-2</v>
      </c>
      <c r="C79">
        <f>LogLinearDF(CalcTable[[#This Row],[Time(T)]], MarketTable[Node(Y)], MarketTable[Solved Forward])</f>
        <v>0.41168367650353843</v>
      </c>
      <c r="D79">
        <f>CalcTable[[#This Row],[CashFlow]]*CalcTable[[#This Row],[DF]]</f>
        <v>5.1460459562942306E-3</v>
      </c>
    </row>
    <row r="80" spans="1:4" x14ac:dyDescent="0.3">
      <c r="A80">
        <v>18</v>
      </c>
      <c r="B80">
        <f>INDEX(MarketTable[Market Rate], $B$2) * 0.25</f>
        <v>1.2500000000000001E-2</v>
      </c>
      <c r="C80">
        <f>LogLinearDF(CalcTable[[#This Row],[Time(T)]], MarketTable[Node(Y)], MarketTable[Solved Forward])</f>
        <v>0.40656965974059911</v>
      </c>
      <c r="D80">
        <f>CalcTable[[#This Row],[CashFlow]]*CalcTable[[#This Row],[DF]]</f>
        <v>5.082120746757489E-3</v>
      </c>
    </row>
    <row r="81" spans="1:4" x14ac:dyDescent="0.3">
      <c r="A81">
        <v>18.25</v>
      </c>
      <c r="B81">
        <f>INDEX(MarketTable[Market Rate], $B$2) * 0.25</f>
        <v>1.2500000000000001E-2</v>
      </c>
      <c r="C81">
        <f>LogLinearDF(CalcTable[[#This Row],[Time(T)]], MarketTable[Node(Y)], MarketTable[Solved Forward])</f>
        <v>0.40151917031416662</v>
      </c>
      <c r="D81">
        <f>CalcTable[[#This Row],[CashFlow]]*CalcTable[[#This Row],[DF]]</f>
        <v>5.0189896289270829E-3</v>
      </c>
    </row>
    <row r="82" spans="1:4" x14ac:dyDescent="0.3">
      <c r="A82">
        <v>18.5</v>
      </c>
      <c r="B82">
        <f>INDEX(MarketTable[Market Rate], $B$2) * 0.25</f>
        <v>1.2500000000000001E-2</v>
      </c>
      <c r="C82">
        <f>LogLinearDF(CalcTable[[#This Row],[Time(T)]], MarketTable[Node(Y)], MarketTable[Solved Forward])</f>
        <v>0.39653141907499284</v>
      </c>
      <c r="D82">
        <f>CalcTable[[#This Row],[CashFlow]]*CalcTable[[#This Row],[DF]]</f>
        <v>4.9566427384374109E-3</v>
      </c>
    </row>
    <row r="83" spans="1:4" x14ac:dyDescent="0.3">
      <c r="A83">
        <v>18.75</v>
      </c>
      <c r="B83">
        <f>INDEX(MarketTable[Market Rate], $B$2) * 0.25</f>
        <v>1.2500000000000001E-2</v>
      </c>
      <c r="C83">
        <f>LogLinearDF(CalcTable[[#This Row],[Time(T)]], MarketTable[Node(Y)], MarketTable[Solved Forward])</f>
        <v>0.39160562667679893</v>
      </c>
      <c r="D83">
        <f>CalcTable[[#This Row],[CashFlow]]*CalcTable[[#This Row],[DF]]</f>
        <v>4.8950703334599867E-3</v>
      </c>
    </row>
    <row r="84" spans="1:4" x14ac:dyDescent="0.3">
      <c r="A84">
        <v>19</v>
      </c>
      <c r="B84">
        <f>INDEX(MarketTable[Market Rate], $B$2) * 0.25</f>
        <v>1.2500000000000001E-2</v>
      </c>
      <c r="C84">
        <f>LogLinearDF(CalcTable[[#This Row],[Time(T)]], MarketTable[Node(Y)], MarketTable[Solved Forward])</f>
        <v>0.38674102345450118</v>
      </c>
      <c r="D84">
        <f>CalcTable[[#This Row],[CashFlow]]*CalcTable[[#This Row],[DF]]</f>
        <v>4.8342627931812652E-3</v>
      </c>
    </row>
    <row r="85" spans="1:4" x14ac:dyDescent="0.3">
      <c r="A85">
        <v>19.25</v>
      </c>
      <c r="B85">
        <f>INDEX(MarketTable[Market Rate], $B$2) * 0.25</f>
        <v>1.2500000000000001E-2</v>
      </c>
      <c r="C85">
        <f>LogLinearDF(CalcTable[[#This Row],[Time(T)]], MarketTable[Node(Y)], MarketTable[Solved Forward])</f>
        <v>0.38193684930394889</v>
      </c>
      <c r="D85">
        <f>CalcTable[[#This Row],[CashFlow]]*CalcTable[[#This Row],[DF]]</f>
        <v>4.7742106162993615E-3</v>
      </c>
    </row>
    <row r="86" spans="1:4" x14ac:dyDescent="0.3">
      <c r="A86">
        <v>19.5</v>
      </c>
      <c r="B86">
        <f>INDEX(MarketTable[Market Rate], $B$2) * 0.25</f>
        <v>1.2500000000000001E-2</v>
      </c>
      <c r="C86">
        <f>LogLinearDF(CalcTable[[#This Row],[Time(T)]], MarketTable[Node(Y)], MarketTable[Solved Forward])</f>
        <v>0.37719235356315689</v>
      </c>
      <c r="D86">
        <f>CalcTable[[#This Row],[CashFlow]]*CalcTable[[#This Row],[DF]]</f>
        <v>4.7149044195394611E-3</v>
      </c>
    </row>
    <row r="87" spans="1:4" x14ac:dyDescent="0.3">
      <c r="A87">
        <v>19.75</v>
      </c>
      <c r="B87">
        <f>INDEX(MarketTable[Market Rate], $B$2) * 0.25</f>
        <v>1.2500000000000001E-2</v>
      </c>
      <c r="C87">
        <f>LogLinearDF(CalcTable[[#This Row],[Time(T)]], MarketTable[Node(Y)], MarketTable[Solved Forward])</f>
        <v>0.37250679489501293</v>
      </c>
      <c r="D87">
        <f>CalcTable[[#This Row],[CashFlow]]*CalcTable[[#This Row],[DF]]</f>
        <v>4.6563349361876619E-3</v>
      </c>
    </row>
    <row r="88" spans="1:4" x14ac:dyDescent="0.3">
      <c r="A88">
        <v>20</v>
      </c>
      <c r="B88">
        <f>INDEX(MarketTable[Market Rate], $B$2) * 0.25</f>
        <v>1.2500000000000001E-2</v>
      </c>
      <c r="C88">
        <f>LogLinearDF(CalcTable[[#This Row],[Time(T)]], MarketTable[Node(Y)], MarketTable[Solved Forward])</f>
        <v>0.36787944117144233</v>
      </c>
      <c r="D88">
        <f>CalcTable[[#This Row],[CashFlow]]*CalcTable[[#This Row],[DF]]</f>
        <v>4.5984930146430293E-3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C62C-2416-4F84-A02B-D4BC9D163148}">
  <dimension ref="A1:B10"/>
  <sheetViews>
    <sheetView workbookViewId="0"/>
  </sheetViews>
  <sheetFormatPr defaultRowHeight="16.5" x14ac:dyDescent="0.3"/>
  <cols>
    <col min="1" max="1" width="36.625" bestFit="1" customWidth="1"/>
    <col min="2" max="2" width="41.75" bestFit="1" customWidth="1"/>
  </cols>
  <sheetData>
    <row r="1" spans="1:2" ht="20.25" x14ac:dyDescent="0.3">
      <c r="A1" s="4" t="s">
        <v>21</v>
      </c>
    </row>
    <row r="3" spans="1:2" x14ac:dyDescent="0.3">
      <c r="A3" t="s">
        <v>22</v>
      </c>
      <c r="B3" s="5">
        <v>46031.395196759258</v>
      </c>
    </row>
    <row r="4" spans="1:2" x14ac:dyDescent="0.3">
      <c r="A4" t="s">
        <v>23</v>
      </c>
      <c r="B4" t="s">
        <v>24</v>
      </c>
    </row>
    <row r="6" spans="1:2" x14ac:dyDescent="0.3">
      <c r="A6" t="s">
        <v>25</v>
      </c>
    </row>
    <row r="7" spans="1:2" x14ac:dyDescent="0.3">
      <c r="A7" t="s">
        <v>26</v>
      </c>
      <c r="B7" t="s">
        <v>27</v>
      </c>
    </row>
    <row r="8" spans="1:2" x14ac:dyDescent="0.3">
      <c r="A8" t="s">
        <v>28</v>
      </c>
      <c r="B8" t="s">
        <v>29</v>
      </c>
    </row>
    <row r="9" spans="1:2" x14ac:dyDescent="0.3">
      <c r="A9" t="s">
        <v>30</v>
      </c>
      <c r="B9" t="s">
        <v>31</v>
      </c>
    </row>
    <row r="10" spans="1:2" x14ac:dyDescent="0.3">
      <c r="A10" t="s">
        <v>32</v>
      </c>
      <c r="B10" t="s">
        <v>33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DAEC0-7825-4AFC-80BD-CEF61BC23883}">
  <sheetPr codeName="Sheet1"/>
  <dimension ref="A1:G10"/>
  <sheetViews>
    <sheetView workbookViewId="0"/>
  </sheetViews>
  <sheetFormatPr defaultRowHeight="16.5" x14ac:dyDescent="0.3"/>
  <cols>
    <col min="1" max="1" width="48.625" bestFit="1" customWidth="1"/>
    <col min="2" max="2" width="13.5" bestFit="1" customWidth="1"/>
    <col min="3" max="3" width="12.75" bestFit="1" customWidth="1"/>
    <col min="4" max="4" width="14.875" bestFit="1" customWidth="1"/>
    <col min="5" max="5" width="14" bestFit="1" customWidth="1"/>
    <col min="6" max="6" width="12.75" bestFit="1" customWidth="1"/>
    <col min="7" max="7" width="17.875" bestFit="1" customWidth="1"/>
  </cols>
  <sheetData>
    <row r="1" spans="1:7" ht="26.25" x14ac:dyDescent="0.3">
      <c r="A1" s="1" t="s">
        <v>0</v>
      </c>
    </row>
    <row r="4" spans="1:7" x14ac:dyDescent="0.3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</row>
    <row r="5" spans="1:7" x14ac:dyDescent="0.3">
      <c r="A5">
        <v>1</v>
      </c>
      <c r="B5" t="s">
        <v>8</v>
      </c>
      <c r="C5">
        <f>ParseTenor(B5)</f>
        <v>2.7397260273972603E-3</v>
      </c>
      <c r="D5">
        <v>0.05</v>
      </c>
      <c r="E5" t="s">
        <v>8</v>
      </c>
      <c r="F5">
        <f>ParseTenor(E5)</f>
        <v>2.7397260273972603E-3</v>
      </c>
      <c r="G5">
        <v>0.05</v>
      </c>
    </row>
    <row r="6" spans="1:7" x14ac:dyDescent="0.3">
      <c r="A6">
        <v>2</v>
      </c>
      <c r="B6" t="s">
        <v>9</v>
      </c>
      <c r="C6">
        <f>ParseTenor(B6)</f>
        <v>0.25</v>
      </c>
      <c r="D6">
        <v>0.05</v>
      </c>
      <c r="E6" t="s">
        <v>9</v>
      </c>
      <c r="F6">
        <f>ParseTenor(E6)</f>
        <v>0.25</v>
      </c>
      <c r="G6">
        <v>0.05</v>
      </c>
    </row>
    <row r="7" spans="1:7" x14ac:dyDescent="0.3">
      <c r="A7">
        <v>3</v>
      </c>
      <c r="B7" t="s">
        <v>10</v>
      </c>
      <c r="C7">
        <f>ParseTenor(B7)</f>
        <v>0.5</v>
      </c>
      <c r="D7">
        <v>0.05</v>
      </c>
      <c r="E7" t="s">
        <v>10</v>
      </c>
      <c r="F7">
        <f>ParseTenor(E7)</f>
        <v>0.5</v>
      </c>
      <c r="G7">
        <v>0.05</v>
      </c>
    </row>
    <row r="8" spans="1:7" x14ac:dyDescent="0.3">
      <c r="A8">
        <v>4</v>
      </c>
      <c r="B8" t="s">
        <v>11</v>
      </c>
      <c r="C8">
        <f>ParseTenor(B8)</f>
        <v>1</v>
      </c>
      <c r="D8">
        <v>0.05</v>
      </c>
      <c r="E8" t="s">
        <v>11</v>
      </c>
      <c r="F8">
        <f>ParseTenor(E8)</f>
        <v>1</v>
      </c>
      <c r="G8">
        <v>0.05</v>
      </c>
    </row>
    <row r="9" spans="1:7" x14ac:dyDescent="0.3">
      <c r="A9">
        <v>5</v>
      </c>
      <c r="B9" t="s">
        <v>12</v>
      </c>
      <c r="C9">
        <f>ParseTenor(B9)</f>
        <v>2</v>
      </c>
      <c r="D9">
        <v>0.05</v>
      </c>
      <c r="E9" t="s">
        <v>12</v>
      </c>
      <c r="F9">
        <f>ParseTenor(E9)</f>
        <v>2</v>
      </c>
      <c r="G9">
        <v>0.05</v>
      </c>
    </row>
    <row r="10" spans="1:7" x14ac:dyDescent="0.3">
      <c r="A10">
        <v>6</v>
      </c>
      <c r="B10" t="s">
        <v>13</v>
      </c>
      <c r="C10">
        <f>ParseTenor(B10)</f>
        <v>3</v>
      </c>
      <c r="D10">
        <v>0.05</v>
      </c>
      <c r="E10" t="s">
        <v>13</v>
      </c>
      <c r="F10">
        <f>ParseTenor(E10)</f>
        <v>3</v>
      </c>
      <c r="G10">
        <v>0.05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Bootstrap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533400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84257-1272-4DF8-87B8-31AF6AF5D2FF}">
  <dimension ref="A1"/>
  <sheetViews>
    <sheetView workbookViewId="0">
      <selection activeCell="G26" sqref="G26"/>
    </sheetView>
  </sheetViews>
  <sheetFormatPr defaultRowHeight="16.5" x14ac:dyDescent="0.3"/>
  <sheetData>
    <row r="1" spans="1:1" x14ac:dyDescent="0.3">
      <c r="A1">
        <v>123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96A5-5852-4226-800D-7E5510E30482}">
  <dimension ref="A1"/>
  <sheetViews>
    <sheetView workbookViewId="0"/>
  </sheetViews>
  <sheetFormatPr defaultRowHeight="16.5" x14ac:dyDescent="0.3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Calculation</vt:lpstr>
      <vt:lpstr>Info</vt:lpstr>
      <vt:lpstr>Main</vt:lpstr>
      <vt:lpstr>가나다</vt:lpstr>
      <vt:lpstr>마바사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hangseob cho</dc:creator>
  <cp:lastModifiedBy>hangseob cho</cp:lastModifiedBy>
  <dcterms:created xsi:type="dcterms:W3CDTF">2026-01-09T00:29:04Z</dcterms:created>
  <dcterms:modified xsi:type="dcterms:W3CDTF">2026-01-09T00:45:35Z</dcterms:modified>
</cp:coreProperties>
</file>