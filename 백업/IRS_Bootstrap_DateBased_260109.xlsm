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백업\"/>
    </mc:Choice>
  </mc:AlternateContent>
  <xr:revisionPtr revIDLastSave="0" documentId="13_ncr:1_{F1475627-76BC-4E23-B0CB-4E95A58B152E}" xr6:coauthVersionLast="36" xr6:coauthVersionMax="36" xr10:uidLastSave="{00000000-0000-0000-0000-000000000000}"/>
  <bookViews>
    <workbookView xWindow="0" yWindow="0" windowWidth="14370" windowHeight="10830" xr2:uid="{2E3F0A14-110D-4785-B28E-4943E19395BA}"/>
  </bookViews>
  <sheets>
    <sheet name="Main" sheetId="1" r:id="rId1"/>
    <sheet name="Validation_Deposit" sheetId="2" r:id="rId2"/>
    <sheet name="Validation_IRS" sheetId="3" r:id="rId3"/>
    <sheet name="Info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H28" i="1"/>
  <c r="H27" i="1"/>
  <c r="H26" i="1"/>
  <c r="H25" i="1"/>
  <c r="H24" i="1"/>
  <c r="H23" i="1"/>
  <c r="H22" i="1"/>
  <c r="H21" i="1"/>
  <c r="E2" i="3"/>
  <c r="D45" i="3" s="1"/>
  <c r="A2" i="3"/>
  <c r="E2" i="2"/>
  <c r="A2" i="2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D12" i="1"/>
  <c r="D11" i="1"/>
  <c r="D10" i="1"/>
  <c r="D9" i="1"/>
  <c r="D8" i="1"/>
  <c r="D7" i="1"/>
  <c r="D6" i="1"/>
  <c r="E12" i="1"/>
  <c r="E11" i="1"/>
  <c r="E10" i="1"/>
  <c r="E9" i="1"/>
  <c r="E8" i="1"/>
  <c r="E7" i="1"/>
  <c r="E6" i="1"/>
  <c r="D22" i="3" l="1"/>
  <c r="D24" i="3"/>
  <c r="D18" i="3"/>
  <c r="D25" i="3"/>
  <c r="D19" i="3"/>
  <c r="D26" i="3"/>
  <c r="D20" i="3"/>
  <c r="D27" i="3"/>
  <c r="D14" i="3"/>
  <c r="D23" i="3"/>
  <c r="D28" i="3"/>
  <c r="D16" i="3"/>
  <c r="D29" i="3"/>
  <c r="D21" i="3"/>
  <c r="D30" i="3"/>
  <c r="D17" i="3"/>
  <c r="D31" i="3"/>
  <c r="D15" i="3"/>
  <c r="D32" i="3"/>
  <c r="D35" i="3"/>
  <c r="D36" i="3"/>
  <c r="D37" i="3"/>
  <c r="D2" i="2"/>
  <c r="D2" i="3"/>
  <c r="C2" i="2"/>
  <c r="F7" i="1"/>
  <c r="F8" i="1"/>
  <c r="F9" i="1"/>
  <c r="F10" i="1"/>
  <c r="F11" i="1"/>
  <c r="C2" i="3"/>
  <c r="F12" i="1"/>
  <c r="D38" i="3"/>
  <c r="D39" i="3"/>
  <c r="D40" i="3"/>
  <c r="D9" i="3"/>
  <c r="D41" i="3"/>
  <c r="D10" i="3"/>
  <c r="D42" i="3"/>
  <c r="D33" i="3"/>
  <c r="D34" i="3"/>
  <c r="D6" i="3"/>
  <c r="D11" i="3"/>
  <c r="D43" i="3"/>
  <c r="D8" i="3"/>
  <c r="D12" i="3"/>
  <c r="D44" i="3"/>
  <c r="D7" i="3"/>
  <c r="D13" i="3"/>
  <c r="F2" i="2"/>
  <c r="G6" i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G7" i="1"/>
  <c r="G8" i="1"/>
  <c r="G9" i="1"/>
  <c r="G10" i="1"/>
  <c r="G11" i="1"/>
  <c r="G2" i="3"/>
  <c r="G12" i="1"/>
  <c r="F45" i="3" l="1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G2" i="2"/>
  <c r="F11" i="3"/>
  <c r="F12" i="3"/>
  <c r="F6" i="3"/>
  <c r="F2" i="3" s="1"/>
  <c r="H2" i="3" s="1"/>
  <c r="F8" i="3"/>
  <c r="F9" i="3"/>
  <c r="F7" i="3"/>
  <c r="F10" i="3"/>
  <c r="F13" i="3"/>
  <c r="F44" i="3"/>
  <c r="F43" i="3"/>
  <c r="F42" i="3"/>
  <c r="F41" i="3"/>
  <c r="F40" i="3"/>
  <c r="F39" i="3"/>
  <c r="F38" i="3"/>
</calcChain>
</file>

<file path=xl/sharedStrings.xml><?xml version="1.0" encoding="utf-8"?>
<sst xmlns="http://schemas.openxmlformats.org/spreadsheetml/2006/main" count="111" uniqueCount="72">
  <si>
    <t>Today</t>
  </si>
  <si>
    <t>DayCount Basis</t>
  </si>
  <si>
    <t>IRS Coupon Freq</t>
  </si>
  <si>
    <t>ACT/365</t>
  </si>
  <si>
    <t>No</t>
  </si>
  <si>
    <t>Jump Date</t>
  </si>
  <si>
    <t>Inst. Tenor</t>
  </si>
  <si>
    <t>Type</t>
  </si>
  <si>
    <t>Mty Date</t>
  </si>
  <si>
    <t>Mty YearFrac</t>
  </si>
  <si>
    <t>Jump YearFrac</t>
  </si>
  <si>
    <t>Market Rate</t>
  </si>
  <si>
    <t>Solved Forward</t>
  </si>
  <si>
    <t>1D</t>
  </si>
  <si>
    <t>Deposit</t>
  </si>
  <si>
    <t>3M</t>
  </si>
  <si>
    <t>IRS</t>
  </si>
  <si>
    <t>10Y</t>
  </si>
  <si>
    <t>Target Tenor</t>
  </si>
  <si>
    <t>Target Index</t>
  </si>
  <si>
    <t>Target Date</t>
  </si>
  <si>
    <t>Target YearFrac</t>
  </si>
  <si>
    <t>NPV</t>
  </si>
  <si>
    <t>NPV Error</t>
  </si>
  <si>
    <t>Payment Date</t>
  </si>
  <si>
    <t>YearFrac</t>
  </si>
  <si>
    <t>Expected CashFlow</t>
  </si>
  <si>
    <t>DF</t>
  </si>
  <si>
    <t>DCF</t>
  </si>
  <si>
    <t>NPV Fixed</t>
  </si>
  <si>
    <t>NPV Floating</t>
  </si>
  <si>
    <t>Creation Timestamp</t>
  </si>
  <si>
    <t>Date-Based IRS Bootstrapper</t>
  </si>
  <si>
    <t>Features:</t>
  </si>
  <si>
    <t>- All calculations are date-based</t>
  </si>
  <si>
    <t>- Day count: ACT/365, ACT/360, ACT/ACT, 30/360</t>
  </si>
  <si>
    <t>- IRS freq: Annual, Semi, Quarterly, Monthly, Daily</t>
  </si>
  <si>
    <t>VBA Functions:</t>
  </si>
  <si>
    <t>CalcYF, AddTenor, LogLinearDF_Date, RunBootstrap</t>
  </si>
  <si>
    <t>Usage:</t>
  </si>
  <si>
    <t>1. Set Today and DayCount Basis</t>
  </si>
  <si>
    <t>2. Enter market instruments</t>
  </si>
  <si>
    <t>3. Click Run Bootstrapping button</t>
  </si>
  <si>
    <t>(Act/365 Quarterly VS Act/365 Quarterly 3M CD)</t>
  </si>
  <si>
    <t>기물</t>
  </si>
  <si>
    <t>MID</t>
  </si>
  <si>
    <t>대비(bp)</t>
  </si>
  <si>
    <t>OFFER</t>
  </si>
  <si>
    <t>BID</t>
  </si>
  <si>
    <t>시간</t>
  </si>
  <si>
    <t>06M</t>
  </si>
  <si>
    <t>종:료</t>
  </si>
  <si>
    <t>09M</t>
  </si>
  <si>
    <t>01Y</t>
  </si>
  <si>
    <t>18M</t>
  </si>
  <si>
    <t>02Y</t>
  </si>
  <si>
    <t>03Y</t>
  </si>
  <si>
    <t>04Y</t>
  </si>
  <si>
    <t>05Y</t>
  </si>
  <si>
    <t>06Y</t>
  </si>
  <si>
    <t>07Y</t>
  </si>
  <si>
    <t>08Y</t>
  </si>
  <si>
    <t>09Y</t>
  </si>
  <si>
    <t>11Y</t>
  </si>
  <si>
    <t>12Y</t>
  </si>
  <si>
    <t>15Y</t>
  </si>
  <si>
    <t>20Y</t>
  </si>
  <si>
    <t>25Y</t>
  </si>
  <si>
    <t>30Y</t>
  </si>
  <si>
    <t>가라로 넣음</t>
    <phoneticPr fontId="2" type="noConversion"/>
  </si>
  <si>
    <t>27년은 예상</t>
    <phoneticPr fontId="2" type="noConversion"/>
  </si>
  <si>
    <t>26년은 공식 발표 되었음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</si>
</sst>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%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22" fontId="0" fillId="0" borderId="0" xfId="0" applyNumberFormat="1">
      <alignment vertical="center"/>
    </xf>
    <xf numFmtId="176" fontId="0" fillId="0" borderId="0" xfId="1" applyNumberFormat="1" applyFont="1">
      <alignment vertical="center"/>
    </xf>
  </cellXfs>
  <cellStyles count="2">
    <cellStyle name="백분율" xfId="1" builtinId="5"/>
    <cellStyle name="표준" xfId="0" builtinId="0"/>
  </cellStyles>
  <dxfs count="11">
    <dxf>
      <numFmt numFmtId="19" formatCode="yyyy/mm/dd"/>
    </dxf>
    <dxf>
      <numFmt numFmtId="176" formatCode="0.0000%"/>
    </dxf>
    <dxf>
      <numFmt numFmtId="19" formatCode="yyyy/mm/dd"/>
    </dxf>
    <dxf>
      <numFmt numFmtId="19" formatCode="yyyy/mm/dd"/>
    </dxf>
    <dxf>
      <numFmt numFmtId="176" formatCode="0.0000%"/>
    </dxf>
    <dxf>
      <numFmt numFmtId="19" formatCode="yyyy/mm/dd"/>
    </dxf>
    <dxf>
      <numFmt numFmtId="176" formatCode="0.0000%"/>
    </dxf>
    <dxf>
      <numFmt numFmtId="176" formatCode="0.0000%"/>
    </dxf>
    <dxf>
      <numFmt numFmtId="19" formatCode="yyyy/mm/dd"/>
    </dxf>
    <dxf>
      <numFmt numFmtId="19" formatCode="yyyy/mm/dd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0</xdr:row>
          <xdr:rowOff>57150</xdr:rowOff>
        </xdr:from>
        <xdr:to>
          <xdr:col>6</xdr:col>
          <xdr:colOff>438150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328542C-A8F2-4B24-9CE2-D9D671BAD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84F766-1908-49D1-ADBD-B56E85124259}" name="Common" displayName="Common" ref="A1:C2" totalsRowShown="0">
  <autoFilter ref="A1:C2" xr:uid="{B9B24633-C910-4477-A7F6-438CB550DA3A}"/>
  <tableColumns count="3">
    <tableColumn id="1" xr3:uid="{7F3C45D9-BED0-462C-8AB7-6E14B22A553D}" name="Today" dataDxfId="10"/>
    <tableColumn id="2" xr3:uid="{ADBF35D3-5C34-4FA5-94C5-E58B69510D6D}" name="DayCount Basis"/>
    <tableColumn id="3" xr3:uid="{EDABC0FB-4150-4E0E-A9D2-D2B6214CF4E4}" name="IRS Coupon Freq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74F921-0A96-4EBC-BA4A-0857B921A84A}" name="JumpDates" displayName="JumpDates" ref="K1:L18" totalsRowShown="0">
  <autoFilter ref="K1:L18" xr:uid="{69BCD2B0-2ABE-4F30-A6B2-37D8F6C333C3}"/>
  <tableColumns count="2">
    <tableColumn id="1" xr3:uid="{DA31AC46-2193-40D5-AB75-0150E13A8C85}" name="No"/>
    <tableColumn id="2" xr3:uid="{CB7FFAF6-3000-4172-851A-7568CBCF36F2}" name="Jump Dat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5001C6-2568-47EE-A6C7-D8ACA92717C6}" name="MarketTable" displayName="MarketTable" ref="A5:I12" totalsRowShown="0">
  <autoFilter ref="A5:I12" xr:uid="{26D0E945-C556-44DE-B258-259C26F67D8D}"/>
  <tableColumns count="9">
    <tableColumn id="1" xr3:uid="{95897615-B8C5-427C-8A88-D64BC1DEAEF4}" name="No"/>
    <tableColumn id="2" xr3:uid="{F173034D-1E42-4D38-BADD-FEB17E76274F}" name="Inst. Tenor"/>
    <tableColumn id="3" xr3:uid="{3663008B-F263-4233-AFB0-2014405C322C}" name="Type"/>
    <tableColumn id="4" xr3:uid="{4F4762F7-0C0D-42D0-B52F-AE853C622710}" name="Mty Date" dataDxfId="9"/>
    <tableColumn id="5" xr3:uid="{06486ABF-498C-4229-8B06-94086DD13A55}" name="Mty YearFrac"/>
    <tableColumn id="6" xr3:uid="{4FCA3C07-164C-444B-84BB-7A89C7D94393}" name="Jump Date" dataDxfId="8"/>
    <tableColumn id="7" xr3:uid="{AE9573F7-596C-444A-B28F-310BA43509FC}" name="Jump YearFrac"/>
    <tableColumn id="8" xr3:uid="{C4AFAA3F-AAD7-4D97-8E28-E35C15F933F6}" name="Market Rate" dataDxfId="7"/>
    <tableColumn id="9" xr3:uid="{B1EA2056-7ADD-45F0-B530-F55718DF658F}" name="Solved Forward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BDFD07-0FBB-457E-A238-C49928B0CD4D}" name="Summary_Deposit" displayName="Summary_Deposit" ref="A1:G2" totalsRowShown="0">
  <autoFilter ref="A1:G2" xr:uid="{D318AB1B-D874-4219-8F33-103DD0EC0191}"/>
  <tableColumns count="7">
    <tableColumn id="1" xr3:uid="{CEE21B20-D930-4A47-A6D8-7BD003A230B0}" name="Target Tenor">
      <calculatedColumnFormula>INDEX(MarketTable[Inst. Tenor], Summary_Deposit[[#This Row],[Target Index]])</calculatedColumnFormula>
    </tableColumn>
    <tableColumn id="2" xr3:uid="{9F99F513-EE75-41AA-98B6-6E15D58320B5}" name="Target Index"/>
    <tableColumn id="3" xr3:uid="{DD8089E2-F33E-4419-961B-E78D4F780B0C}" name="Target Date" dataDxfId="5">
      <calculatedColumnFormula>INDEX(MarketTable[Mty Date], Summary_Deposit[[#This Row],[Target Index]])</calculatedColumnFormula>
    </tableColumn>
    <tableColumn id="4" xr3:uid="{9848C561-4F2E-4A80-8646-484243801747}" name="Target YearFrac">
      <calculatedColumnFormula>INDEX(MarketTable[Mty YearFrac], Summary_Deposit[[#This Row],[Target Index]])</calculatedColumnFormula>
    </tableColumn>
    <tableColumn id="5" xr3:uid="{25A9C80F-CAAF-496F-A2A7-55FA4B00E07F}" name="Market Rate" dataDxfId="4">
      <calculatedColumnFormula>INDEX(MarketTable[Market Rate], Summary_Deposit[[#This Row],[Target Index]])</calculatedColumnFormula>
    </tableColumn>
    <tableColumn id="6" xr3:uid="{B501F489-DA8B-4723-A62B-97EB7755861A}" name="NPV">
      <calculatedColumnFormula>(1 + Summary_Deposit[[#This Row],[Market Rate]] * Summary_Deposit[[#This Row],[Target YearFrac]]) * LogLinearDF_Date(Summary_Deposit[[#This Row],[Target Date]], INDEX(Common[Today],1), MarketTable[Jump Date], MarketTable[Solved Forward], INDEX(Common[DayCount Basis],1))</calculatedColumnFormula>
    </tableColumn>
    <tableColumn id="7" xr3:uid="{5D8E88AE-75BA-4151-88A0-186E04C7B906}" name="NPV Error">
      <calculatedColumnFormula>Summary_Deposit[[#This Row],[NPV]] - 1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0174C0-0780-499A-ABFA-6F349A41F5FB}" name="CalcTable_IRS" displayName="CalcTable_IRS" ref="A5:F45" totalsRowShown="0">
  <autoFilter ref="A5:F45" xr:uid="{B0145C45-92E8-4CFA-8B46-A21B64EF8FC3}"/>
  <tableColumns count="6">
    <tableColumn id="1" xr3:uid="{43B74B57-56DC-4EDF-86A0-6481A7C4B117}" name="No"/>
    <tableColumn id="2" xr3:uid="{4CB1787E-4E82-4FE4-B811-91F1D7B909F2}" name="Payment Date" dataDxfId="3"/>
    <tableColumn id="3" xr3:uid="{FA37D50F-7034-4DC9-8EDE-17C33668ED3F}" name="YearFrac"/>
    <tableColumn id="4" xr3:uid="{130D42F4-5B73-4883-BFBA-4DD39138FEE0}" name="Expected CashFlow"/>
    <tableColumn id="5" xr3:uid="{012A8446-FF38-4BA1-8A74-4D6637D8469C}" name="DF"/>
    <tableColumn id="6" xr3:uid="{B220268E-1C31-41FC-9C4B-257DF9D4B8F0}" name="DC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45B925-2400-4C2A-B5F4-DFEAADA859C9}" name="Summary_IRS" displayName="Summary_IRS" ref="A1:H2" totalsRowShown="0">
  <autoFilter ref="A1:H2" xr:uid="{7DF0A210-E651-4D81-9ACD-7A48A635A639}"/>
  <tableColumns count="8">
    <tableColumn id="1" xr3:uid="{7F37D43E-5CB4-43A6-943A-D9781E296949}" name="Target Tenor">
      <calculatedColumnFormula>INDEX(MarketTable[Inst. Tenor], Summary_IRS[[#This Row],[Target Index]])</calculatedColumnFormula>
    </tableColumn>
    <tableColumn id="2" xr3:uid="{6BC3AD1D-614F-400E-B242-A9520B43B9E9}" name="Target Index"/>
    <tableColumn id="3" xr3:uid="{FF23799E-8D94-41C0-BAA1-C2849C904118}" name="Target Date" dataDxfId="2">
      <calculatedColumnFormula>INDEX(MarketTable[Mty Date], Summary_IRS[[#This Row],[Target Index]])</calculatedColumnFormula>
    </tableColumn>
    <tableColumn id="4" xr3:uid="{CE53501B-3BA4-4A26-B333-CD46AECA71CE}" name="Target YearFrac">
      <calculatedColumnFormula>INDEX(MarketTable[Mty YearFrac], Summary_IRS[[#This Row],[Target Index]])</calculatedColumnFormula>
    </tableColumn>
    <tableColumn id="5" xr3:uid="{28A4C538-4073-4FE7-B85E-78A907810D76}" name="Market Rate" dataDxfId="1">
      <calculatedColumnFormula>INDEX(MarketTable[Market Rate], Summary_IRS[[#This Row],[Target Index]])</calculatedColumnFormula>
    </tableColumn>
    <tableColumn id="6" xr3:uid="{C7553054-66F0-4FD3-AE82-150DA8BBD61D}" name="NPV Fixed">
      <calculatedColumnFormula>SUMIFS(CalcTable_IRS[DCF], CalcTable_IRS[Payment Date], "&lt;=" &amp; Summary_IRS[[#This Row],[Target Date]] + 0.5)</calculatedColumnFormula>
    </tableColumn>
    <tableColumn id="7" xr3:uid="{DDCD4CC4-8FB4-4A96-9935-9E5759700097}" name="NPV Floating">
      <calculatedColumnFormula>1 - LogLinearDF_Date(Summary_IRS[[#This Row],[Target Date]], INDEX(Common[Today],1), MarketTable[Jump Date], MarketTable[Solved Forward], INDEX(Common[DayCount Basis],1))</calculatedColumnFormula>
    </tableColumn>
    <tableColumn id="8" xr3:uid="{59FA12D5-7146-4F5F-9522-F107D2DF32EE}" name="NPV Error">
      <calculatedColumnFormula>Summary_IRS[[#This Row],[NPV Fixed]] - Summary_IRS[[#This Row],[NPV Floating]]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0C8B-516E-43A3-858E-3463866F72E9}">
  <sheetPr codeName="Sheet1"/>
  <dimension ref="A1:R39"/>
  <sheetViews>
    <sheetView tabSelected="1" workbookViewId="0">
      <selection activeCell="F17" sqref="F17"/>
    </sheetView>
  </sheetViews>
  <sheetFormatPr defaultRowHeight="16.5" x14ac:dyDescent="0.3"/>
  <cols>
    <col min="1" max="1" width="11.125" bestFit="1" customWidth="1"/>
    <col min="2" max="2" width="18.25" bestFit="1" customWidth="1"/>
    <col min="3" max="3" width="19.375" bestFit="1" customWidth="1"/>
    <col min="4" max="4" width="12" bestFit="1" customWidth="1"/>
    <col min="5" max="5" width="15.75" bestFit="1" customWidth="1"/>
    <col min="6" max="6" width="13.375" bestFit="1" customWidth="1"/>
    <col min="7" max="7" width="17.125" bestFit="1" customWidth="1"/>
    <col min="8" max="8" width="14.875" bestFit="1" customWidth="1"/>
    <col min="9" max="9" width="17.875" bestFit="1" customWidth="1"/>
    <col min="11" max="11" width="6.375" bestFit="1" customWidth="1"/>
    <col min="12" max="12" width="22.875" bestFit="1" customWidth="1"/>
    <col min="17" max="18" width="18.125" bestFit="1" customWidth="1"/>
  </cols>
  <sheetData>
    <row r="1" spans="1:18" x14ac:dyDescent="0.3">
      <c r="A1" t="s">
        <v>0</v>
      </c>
      <c r="B1" t="s">
        <v>1</v>
      </c>
      <c r="C1" t="s">
        <v>2</v>
      </c>
      <c r="K1" t="s">
        <v>4</v>
      </c>
      <c r="L1" t="s">
        <v>5</v>
      </c>
    </row>
    <row r="2" spans="1:18" x14ac:dyDescent="0.3">
      <c r="A2" s="1">
        <v>46030</v>
      </c>
      <c r="B2" t="s">
        <v>3</v>
      </c>
      <c r="C2">
        <v>4</v>
      </c>
      <c r="K2">
        <v>1</v>
      </c>
      <c r="L2" s="1">
        <v>46037</v>
      </c>
      <c r="N2" t="s">
        <v>71</v>
      </c>
      <c r="Q2" s="1"/>
      <c r="R2" s="1"/>
    </row>
    <row r="3" spans="1:18" x14ac:dyDescent="0.3">
      <c r="K3">
        <v>2</v>
      </c>
      <c r="L3" s="1">
        <v>46079</v>
      </c>
      <c r="Q3" s="1"/>
      <c r="R3" s="1"/>
    </row>
    <row r="4" spans="1:18" x14ac:dyDescent="0.3">
      <c r="K4">
        <v>3</v>
      </c>
      <c r="L4" s="1">
        <v>46122</v>
      </c>
      <c r="Q4" s="1"/>
      <c r="R4" s="1"/>
    </row>
    <row r="5" spans="1:18" x14ac:dyDescent="0.3">
      <c r="A5" t="s">
        <v>4</v>
      </c>
      <c r="B5" t="s">
        <v>6</v>
      </c>
      <c r="C5" t="s">
        <v>7</v>
      </c>
      <c r="D5" t="s">
        <v>8</v>
      </c>
      <c r="E5" t="s">
        <v>9</v>
      </c>
      <c r="F5" t="s">
        <v>5</v>
      </c>
      <c r="G5" t="s">
        <v>10</v>
      </c>
      <c r="H5" t="s">
        <v>11</v>
      </c>
      <c r="I5" t="s">
        <v>12</v>
      </c>
      <c r="K5">
        <v>4</v>
      </c>
      <c r="L5" s="1">
        <v>46170</v>
      </c>
      <c r="Q5" s="1"/>
      <c r="R5" s="1"/>
    </row>
    <row r="6" spans="1:18" x14ac:dyDescent="0.3">
      <c r="A6">
        <v>1</v>
      </c>
      <c r="B6" t="s">
        <v>13</v>
      </c>
      <c r="C6" t="s">
        <v>14</v>
      </c>
      <c r="D6" s="1">
        <f>AddTenor(INDEX(Common[Today],1), MarketTable[[#This Row],[Inst. Tenor]])</f>
        <v>46031</v>
      </c>
      <c r="E6">
        <f>CalcYF(INDEX(Common[Today],1), MarketTable[[#This Row],[Mty Date]], INDEX(Common[DayCount Basis],1))</f>
        <v>2.7397260273972603E-3</v>
      </c>
      <c r="F6" s="1">
        <f>_xlfn.MINIFS(JumpDates[Jump Date], JumpDates[Jump Date], "&gt;=" &amp; MarketTable[[#This Row],[Mty Date]])</f>
        <v>46037</v>
      </c>
      <c r="G6">
        <f>CalcYF(INDEX(Common[Today],1), MarketTable[[#This Row],[Jump Date]], INDEX(Common[DayCount Basis],1))</f>
        <v>1.9178082191780823E-2</v>
      </c>
      <c r="H6" s="2">
        <v>2.5000000000000001E-2</v>
      </c>
      <c r="I6" s="2">
        <v>0</v>
      </c>
      <c r="K6">
        <v>5</v>
      </c>
      <c r="L6" s="1">
        <v>46219</v>
      </c>
      <c r="Q6" s="1"/>
      <c r="R6" s="1"/>
    </row>
    <row r="7" spans="1:18" x14ac:dyDescent="0.3">
      <c r="A7">
        <v>2</v>
      </c>
      <c r="B7" t="s">
        <v>15</v>
      </c>
      <c r="C7" t="s">
        <v>14</v>
      </c>
      <c r="D7" s="1">
        <f>AddTenor(INDEX(Common[Today],1), MarketTable[[#This Row],[Inst. Tenor]])</f>
        <v>46120</v>
      </c>
      <c r="E7">
        <f>CalcYF(INDEX(Common[Today],1), MarketTable[[#This Row],[Mty Date]], INDEX(Common[DayCount Basis],1))</f>
        <v>0.24657534246575341</v>
      </c>
      <c r="F7" s="1">
        <f>_xlfn.MINIFS(JumpDates[Jump Date], JumpDates[Jump Date], "&gt;=" &amp; MarketTable[[#This Row],[Mty Date]])</f>
        <v>46122</v>
      </c>
      <c r="G7">
        <f>CalcYF(INDEX(Common[Today],1), MarketTable[[#This Row],[Jump Date]], INDEX(Common[DayCount Basis],1))</f>
        <v>0.25205479452054796</v>
      </c>
      <c r="H7" s="2">
        <v>2.7E-2</v>
      </c>
      <c r="I7" s="2">
        <v>0</v>
      </c>
      <c r="K7">
        <v>6</v>
      </c>
      <c r="L7" s="1">
        <v>46261</v>
      </c>
      <c r="Q7" s="1"/>
      <c r="R7" s="1"/>
    </row>
    <row r="8" spans="1:18" x14ac:dyDescent="0.3">
      <c r="A8">
        <v>3</v>
      </c>
      <c r="B8" t="s">
        <v>50</v>
      </c>
      <c r="C8" t="s">
        <v>16</v>
      </c>
      <c r="D8" s="1">
        <f>AddTenor(INDEX(Common[Today],1), MarketTable[[#This Row],[Inst. Tenor]])</f>
        <v>46211</v>
      </c>
      <c r="E8">
        <f>CalcYF(INDEX(Common[Today],1), MarketTable[[#This Row],[Mty Date]], INDEX(Common[DayCount Basis],1))</f>
        <v>0.49589041095890413</v>
      </c>
      <c r="F8" s="1">
        <f>_xlfn.MINIFS(JumpDates[Jump Date], JumpDates[Jump Date], "&gt;=" &amp; MarketTable[[#This Row],[Mty Date]])</f>
        <v>46219</v>
      </c>
      <c r="G8">
        <f>CalcYF(INDEX(Common[Today],1), MarketTable[[#This Row],[Jump Date]], INDEX(Common[DayCount Basis],1))</f>
        <v>0.51780821917808217</v>
      </c>
      <c r="H8" s="2">
        <v>2.7050000000000001E-2</v>
      </c>
      <c r="I8" s="2">
        <v>0</v>
      </c>
      <c r="K8">
        <v>7</v>
      </c>
      <c r="L8" s="1">
        <v>46317</v>
      </c>
      <c r="Q8" s="1"/>
      <c r="R8" s="1"/>
    </row>
    <row r="9" spans="1:18" x14ac:dyDescent="0.3">
      <c r="A9">
        <v>4</v>
      </c>
      <c r="B9" t="s">
        <v>52</v>
      </c>
      <c r="C9" t="s">
        <v>16</v>
      </c>
      <c r="D9" s="1">
        <f>AddTenor(INDEX(Common[Today],1), MarketTable[[#This Row],[Inst. Tenor]])</f>
        <v>46303</v>
      </c>
      <c r="E9">
        <f>CalcYF(INDEX(Common[Today],1), MarketTable[[#This Row],[Mty Date]], INDEX(Common[DayCount Basis],1))</f>
        <v>0.74794520547945209</v>
      </c>
      <c r="F9" s="1">
        <f>_xlfn.MINIFS(JumpDates[Jump Date], JumpDates[Jump Date], "&gt;=" &amp; MarketTable[[#This Row],[Mty Date]])</f>
        <v>46317</v>
      </c>
      <c r="G9">
        <f>CalcYF(INDEX(Common[Today],1), MarketTable[[#This Row],[Jump Date]], INDEX(Common[DayCount Basis],1))</f>
        <v>0.78630136986301369</v>
      </c>
      <c r="H9" s="2">
        <v>2.7125E-2</v>
      </c>
      <c r="I9" s="2">
        <v>0</v>
      </c>
      <c r="K9">
        <v>8</v>
      </c>
      <c r="L9" s="1">
        <v>46352</v>
      </c>
      <c r="Q9" s="1"/>
      <c r="R9" s="1"/>
    </row>
    <row r="10" spans="1:18" x14ac:dyDescent="0.3">
      <c r="A10">
        <v>5</v>
      </c>
      <c r="B10" t="s">
        <v>53</v>
      </c>
      <c r="C10" t="s">
        <v>16</v>
      </c>
      <c r="D10" s="1">
        <f>AddTenor(INDEX(Common[Today],1), MarketTable[[#This Row],[Inst. Tenor]])</f>
        <v>46395</v>
      </c>
      <c r="E10">
        <f>CalcYF(INDEX(Common[Today],1), MarketTable[[#This Row],[Mty Date]], INDEX(Common[DayCount Basis],1))</f>
        <v>1</v>
      </c>
      <c r="F10" s="1">
        <f>_xlfn.MINIFS(JumpDates[Jump Date], JumpDates[Jump Date], "&gt;=" &amp; MarketTable[[#This Row],[Mty Date]])</f>
        <v>46401</v>
      </c>
      <c r="G10">
        <f>CalcYF(INDEX(Common[Today],1), MarketTable[[#This Row],[Jump Date]], INDEX(Common[DayCount Basis],1))</f>
        <v>1.0164383561643835</v>
      </c>
      <c r="H10" s="2">
        <v>2.7349999999999999E-2</v>
      </c>
      <c r="I10" s="2">
        <v>0</v>
      </c>
      <c r="K10">
        <v>9</v>
      </c>
      <c r="L10" s="1">
        <v>46401</v>
      </c>
      <c r="N10" t="s">
        <v>70</v>
      </c>
    </row>
    <row r="11" spans="1:18" x14ac:dyDescent="0.3">
      <c r="A11">
        <v>6</v>
      </c>
      <c r="B11" t="s">
        <v>54</v>
      </c>
      <c r="C11" t="s">
        <v>16</v>
      </c>
      <c r="D11" s="1">
        <f>AddTenor(INDEX(Common[Today],1), MarketTable[[#This Row],[Inst. Tenor]])</f>
        <v>46576</v>
      </c>
      <c r="E11">
        <f>CalcYF(INDEX(Common[Today],1), MarketTable[[#This Row],[Mty Date]], INDEX(Common[DayCount Basis],1))</f>
        <v>1.4958904109589042</v>
      </c>
      <c r="F11" s="1">
        <f>_xlfn.MINIFS(JumpDates[Jump Date], JumpDates[Jump Date], "&gt;=" &amp; MarketTable[[#This Row],[Mty Date]])</f>
        <v>46583</v>
      </c>
      <c r="G11">
        <f>CalcYF(INDEX(Common[Today],1), MarketTable[[#This Row],[Jump Date]], INDEX(Common[DayCount Basis],1))</f>
        <v>1.515068493150685</v>
      </c>
      <c r="H11" s="2">
        <v>2.8025000000000001E-2</v>
      </c>
      <c r="I11" s="2">
        <v>0</v>
      </c>
      <c r="K11">
        <v>10</v>
      </c>
      <c r="L11" s="1">
        <v>46443</v>
      </c>
    </row>
    <row r="12" spans="1:18" x14ac:dyDescent="0.3">
      <c r="A12">
        <v>7</v>
      </c>
      <c r="B12" t="s">
        <v>55</v>
      </c>
      <c r="C12" t="s">
        <v>16</v>
      </c>
      <c r="D12" s="1">
        <f>AddTenor(INDEX(Common[Today],1), MarketTable[[#This Row],[Inst. Tenor]])</f>
        <v>46760</v>
      </c>
      <c r="E12">
        <f>CalcYF(INDEX(Common[Today],1), MarketTable[[#This Row],[Mty Date]], INDEX(Common[DayCount Basis],1))</f>
        <v>2</v>
      </c>
      <c r="F12" s="1">
        <f>_xlfn.MINIFS(JumpDates[Jump Date], JumpDates[Jump Date], "&gt;=" &amp; MarketTable[[#This Row],[Mty Date]])</f>
        <v>46767</v>
      </c>
      <c r="G12">
        <f>CalcYF(INDEX(Common[Today],1), MarketTable[[#This Row],[Jump Date]], INDEX(Common[DayCount Basis],1))</f>
        <v>2.0191780821917806</v>
      </c>
      <c r="H12" s="2">
        <v>2.8924999999999999E-2</v>
      </c>
      <c r="I12" s="2">
        <v>0</v>
      </c>
      <c r="K12">
        <v>11</v>
      </c>
      <c r="L12" s="1">
        <v>46492</v>
      </c>
    </row>
    <row r="13" spans="1:18" x14ac:dyDescent="0.3">
      <c r="D13" s="1"/>
      <c r="F13" s="1"/>
      <c r="H13" s="2"/>
      <c r="I13" s="2"/>
      <c r="K13">
        <v>12</v>
      </c>
      <c r="L13" s="1">
        <v>46534</v>
      </c>
    </row>
    <row r="14" spans="1:18" x14ac:dyDescent="0.3">
      <c r="K14">
        <v>13</v>
      </c>
      <c r="L14" s="1">
        <v>46583</v>
      </c>
    </row>
    <row r="15" spans="1:18" x14ac:dyDescent="0.3">
      <c r="K15">
        <v>14</v>
      </c>
      <c r="L15" s="1">
        <v>46625</v>
      </c>
    </row>
    <row r="16" spans="1:18" x14ac:dyDescent="0.3">
      <c r="K16">
        <v>15</v>
      </c>
      <c r="L16" s="1">
        <v>46681</v>
      </c>
    </row>
    <row r="17" spans="2:14" x14ac:dyDescent="0.3">
      <c r="K17">
        <v>16</v>
      </c>
      <c r="L17" s="1">
        <v>46716</v>
      </c>
    </row>
    <row r="18" spans="2:14" x14ac:dyDescent="0.3">
      <c r="B18" t="s">
        <v>16</v>
      </c>
      <c r="K18">
        <v>17</v>
      </c>
      <c r="L18" s="1">
        <v>46767</v>
      </c>
      <c r="N18" t="s">
        <v>69</v>
      </c>
    </row>
    <row r="19" spans="2:14" x14ac:dyDescent="0.3">
      <c r="B19" t="s">
        <v>43</v>
      </c>
    </row>
    <row r="20" spans="2:14" x14ac:dyDescent="0.3">
      <c r="B20" t="s">
        <v>44</v>
      </c>
      <c r="C20" t="s">
        <v>45</v>
      </c>
      <c r="D20" t="s">
        <v>46</v>
      </c>
      <c r="E20" t="s">
        <v>47</v>
      </c>
      <c r="F20" t="s">
        <v>48</v>
      </c>
      <c r="G20" t="s">
        <v>49</v>
      </c>
    </row>
    <row r="21" spans="2:14" x14ac:dyDescent="0.3">
      <c r="B21" t="s">
        <v>50</v>
      </c>
      <c r="C21">
        <v>2.7050000000000001</v>
      </c>
      <c r="D21">
        <v>0.25</v>
      </c>
      <c r="E21">
        <v>2.72</v>
      </c>
      <c r="F21">
        <v>2.69</v>
      </c>
      <c r="G21" t="s">
        <v>51</v>
      </c>
      <c r="H21" s="4">
        <f>C21/100</f>
        <v>2.7050000000000001E-2</v>
      </c>
    </row>
    <row r="22" spans="2:14" x14ac:dyDescent="0.3">
      <c r="B22" t="s">
        <v>52</v>
      </c>
      <c r="C22">
        <v>2.7124999999999999</v>
      </c>
      <c r="D22">
        <v>0.75</v>
      </c>
      <c r="E22">
        <v>2.73</v>
      </c>
      <c r="F22">
        <v>2.6949999999999998</v>
      </c>
      <c r="G22" t="s">
        <v>51</v>
      </c>
      <c r="H22" s="4">
        <f t="shared" ref="H22:H28" si="0">C22/100</f>
        <v>2.7125E-2</v>
      </c>
    </row>
    <row r="23" spans="2:14" x14ac:dyDescent="0.3">
      <c r="B23" t="s">
        <v>53</v>
      </c>
      <c r="C23">
        <v>2.7349999999999999</v>
      </c>
      <c r="D23">
        <v>0.5</v>
      </c>
      <c r="E23">
        <v>2.75</v>
      </c>
      <c r="F23">
        <v>2.72</v>
      </c>
      <c r="G23" t="s">
        <v>51</v>
      </c>
      <c r="H23" s="4">
        <f t="shared" si="0"/>
        <v>2.7349999999999999E-2</v>
      </c>
    </row>
    <row r="24" spans="2:14" x14ac:dyDescent="0.3">
      <c r="B24" t="s">
        <v>54</v>
      </c>
      <c r="C24">
        <v>2.8025000000000002</v>
      </c>
      <c r="D24">
        <v>0.5</v>
      </c>
      <c r="E24">
        <v>2.82</v>
      </c>
      <c r="F24">
        <v>2.7850000000000001</v>
      </c>
      <c r="G24" t="s">
        <v>51</v>
      </c>
      <c r="H24" s="4">
        <f t="shared" si="0"/>
        <v>2.8025000000000001E-2</v>
      </c>
    </row>
    <row r="25" spans="2:14" x14ac:dyDescent="0.3">
      <c r="B25" t="s">
        <v>55</v>
      </c>
      <c r="C25">
        <v>2.8925000000000001</v>
      </c>
      <c r="D25">
        <v>0.25</v>
      </c>
      <c r="E25">
        <v>2.91</v>
      </c>
      <c r="F25">
        <v>2.875</v>
      </c>
      <c r="G25" t="s">
        <v>51</v>
      </c>
      <c r="H25" s="4">
        <f t="shared" si="0"/>
        <v>2.8924999999999999E-2</v>
      </c>
    </row>
    <row r="26" spans="2:14" x14ac:dyDescent="0.3">
      <c r="B26" t="s">
        <v>56</v>
      </c>
      <c r="C26">
        <v>3.0074999999999998</v>
      </c>
      <c r="D26">
        <v>-0.25</v>
      </c>
      <c r="E26">
        <v>3.0249999999999999</v>
      </c>
      <c r="F26">
        <v>2.99</v>
      </c>
      <c r="G26" t="s">
        <v>51</v>
      </c>
      <c r="H26" s="4">
        <f t="shared" si="0"/>
        <v>3.0074999999999998E-2</v>
      </c>
    </row>
    <row r="27" spans="2:14" x14ac:dyDescent="0.3">
      <c r="B27" t="s">
        <v>57</v>
      </c>
      <c r="C27">
        <v>3.0825</v>
      </c>
      <c r="D27">
        <v>-0.25</v>
      </c>
      <c r="E27">
        <v>3.1</v>
      </c>
      <c r="F27">
        <v>3.0649999999999999</v>
      </c>
      <c r="G27" t="s">
        <v>51</v>
      </c>
      <c r="H27" s="4">
        <f t="shared" si="0"/>
        <v>3.0825000000000002E-2</v>
      </c>
    </row>
    <row r="28" spans="2:14" x14ac:dyDescent="0.3">
      <c r="B28" t="s">
        <v>58</v>
      </c>
      <c r="C28">
        <v>3.1324999999999998</v>
      </c>
      <c r="D28">
        <v>-0.5</v>
      </c>
      <c r="E28">
        <v>3.15</v>
      </c>
      <c r="F28">
        <v>3.1150000000000002</v>
      </c>
      <c r="G28" t="s">
        <v>51</v>
      </c>
      <c r="H28" s="4">
        <f t="shared" si="0"/>
        <v>3.1324999999999999E-2</v>
      </c>
    </row>
    <row r="29" spans="2:14" x14ac:dyDescent="0.3">
      <c r="B29" t="s">
        <v>59</v>
      </c>
      <c r="C29">
        <v>3.1724999999999999</v>
      </c>
      <c r="D29">
        <v>-1.25</v>
      </c>
      <c r="E29">
        <v>3.19</v>
      </c>
      <c r="F29">
        <v>3.1549999999999998</v>
      </c>
      <c r="G29" t="s">
        <v>51</v>
      </c>
    </row>
    <row r="30" spans="2:14" x14ac:dyDescent="0.3">
      <c r="B30" t="s">
        <v>60</v>
      </c>
      <c r="C30">
        <v>3.2</v>
      </c>
      <c r="D30">
        <v>-1.75</v>
      </c>
      <c r="E30">
        <v>3.2149999999999999</v>
      </c>
      <c r="F30">
        <v>3.1850000000000001</v>
      </c>
      <c r="G30" t="s">
        <v>51</v>
      </c>
    </row>
    <row r="31" spans="2:14" x14ac:dyDescent="0.3">
      <c r="B31" t="s">
        <v>61</v>
      </c>
      <c r="C31">
        <v>3.22</v>
      </c>
      <c r="D31">
        <v>-1.5</v>
      </c>
      <c r="E31">
        <v>3.2349999999999999</v>
      </c>
      <c r="F31">
        <v>3.2050000000000001</v>
      </c>
      <c r="G31" t="s">
        <v>51</v>
      </c>
    </row>
    <row r="32" spans="2:14" x14ac:dyDescent="0.3">
      <c r="B32" t="s">
        <v>62</v>
      </c>
      <c r="C32">
        <v>3.2450000000000001</v>
      </c>
      <c r="D32">
        <v>-1.5</v>
      </c>
      <c r="E32">
        <v>3.26</v>
      </c>
      <c r="F32">
        <v>3.23</v>
      </c>
      <c r="G32" t="s">
        <v>51</v>
      </c>
    </row>
    <row r="33" spans="2:7" x14ac:dyDescent="0.3">
      <c r="B33" t="s">
        <v>17</v>
      </c>
      <c r="C33">
        <v>3.26</v>
      </c>
      <c r="D33">
        <v>-1.25</v>
      </c>
      <c r="E33">
        <v>3.2749999999999999</v>
      </c>
      <c r="F33">
        <v>3.2450000000000001</v>
      </c>
      <c r="G33" t="s">
        <v>51</v>
      </c>
    </row>
    <row r="34" spans="2:7" x14ac:dyDescent="0.3">
      <c r="B34" t="s">
        <v>63</v>
      </c>
      <c r="C34">
        <v>3.2749999999999999</v>
      </c>
      <c r="D34">
        <v>-1.25</v>
      </c>
      <c r="E34">
        <v>3.29</v>
      </c>
      <c r="F34">
        <v>3.26</v>
      </c>
      <c r="G34" t="s">
        <v>51</v>
      </c>
    </row>
    <row r="35" spans="2:7" x14ac:dyDescent="0.3">
      <c r="B35" t="s">
        <v>64</v>
      </c>
      <c r="C35">
        <v>3.2875000000000001</v>
      </c>
      <c r="D35">
        <v>-1.25</v>
      </c>
      <c r="E35">
        <v>3.3050000000000002</v>
      </c>
      <c r="F35">
        <v>3.27</v>
      </c>
      <c r="G35" t="s">
        <v>51</v>
      </c>
    </row>
    <row r="36" spans="2:7" x14ac:dyDescent="0.3">
      <c r="B36" t="s">
        <v>65</v>
      </c>
      <c r="C36">
        <v>3.2749999999999999</v>
      </c>
      <c r="D36">
        <v>-1.25</v>
      </c>
      <c r="E36">
        <v>3.29</v>
      </c>
      <c r="F36">
        <v>3.26</v>
      </c>
      <c r="G36" t="s">
        <v>51</v>
      </c>
    </row>
    <row r="37" spans="2:7" x14ac:dyDescent="0.3">
      <c r="B37" t="s">
        <v>66</v>
      </c>
      <c r="C37">
        <v>3.1724999999999999</v>
      </c>
      <c r="D37">
        <v>-1.25</v>
      </c>
      <c r="E37">
        <v>3.19</v>
      </c>
      <c r="F37">
        <v>3.1549999999999998</v>
      </c>
      <c r="G37" t="s">
        <v>51</v>
      </c>
    </row>
    <row r="38" spans="2:7" x14ac:dyDescent="0.3">
      <c r="B38" t="s">
        <v>67</v>
      </c>
      <c r="C38">
        <v>3.0550000000000002</v>
      </c>
      <c r="D38">
        <v>-1.25</v>
      </c>
      <c r="E38">
        <v>3.07</v>
      </c>
      <c r="F38">
        <v>3.04</v>
      </c>
      <c r="G38" t="s">
        <v>51</v>
      </c>
    </row>
    <row r="39" spans="2:7" x14ac:dyDescent="0.3">
      <c r="B39" t="s">
        <v>68</v>
      </c>
      <c r="C39">
        <v>2.9175</v>
      </c>
      <c r="D39">
        <v>-1.25</v>
      </c>
      <c r="E39">
        <v>2.9350000000000001</v>
      </c>
      <c r="F39">
        <v>2.9</v>
      </c>
      <c r="G39" t="s">
        <v>51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4</xdr:col>
                    <xdr:colOff>942975</xdr:colOff>
                    <xdr:row>0</xdr:row>
                    <xdr:rowOff>57150</xdr:rowOff>
                  </from>
                  <to>
                    <xdr:col>6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C022A-9718-4385-AE68-4D90202A1E59}">
  <sheetPr codeName="Sheet2"/>
  <dimension ref="A1:G2"/>
  <sheetViews>
    <sheetView workbookViewId="0"/>
  </sheetViews>
  <sheetFormatPr defaultRowHeight="16.5" x14ac:dyDescent="0.3"/>
  <cols>
    <col min="1" max="1" width="15.625" bestFit="1" customWidth="1"/>
    <col min="2" max="2" width="15.25" bestFit="1" customWidth="1"/>
    <col min="3" max="3" width="14.5" bestFit="1" customWidth="1"/>
    <col min="4" max="4" width="18.25" bestFit="1" customWidth="1"/>
    <col min="5" max="5" width="14.875" bestFit="1" customWidth="1"/>
    <col min="6" max="6" width="11.625" bestFit="1" customWidth="1"/>
    <col min="7" max="7" width="13.125" bestFit="1" customWidth="1"/>
  </cols>
  <sheetData>
    <row r="1" spans="1:7" x14ac:dyDescent="0.3">
      <c r="A1" t="s">
        <v>18</v>
      </c>
      <c r="B1" t="s">
        <v>19</v>
      </c>
      <c r="C1" t="s">
        <v>20</v>
      </c>
      <c r="D1" t="s">
        <v>21</v>
      </c>
      <c r="E1" t="s">
        <v>11</v>
      </c>
      <c r="F1" t="s">
        <v>22</v>
      </c>
      <c r="G1" t="s">
        <v>23</v>
      </c>
    </row>
    <row r="2" spans="1:7" x14ac:dyDescent="0.3">
      <c r="A2" t="str">
        <f>INDEX(MarketTable[Inst. Tenor], Summary_Deposit[[#This Row],[Target Index]])</f>
        <v>1D</v>
      </c>
      <c r="B2">
        <v>1</v>
      </c>
      <c r="C2" s="1">
        <f>INDEX(MarketTable[Mty Date], Summary_Deposit[[#This Row],[Target Index]])</f>
        <v>46031</v>
      </c>
      <c r="D2">
        <f>INDEX(MarketTable[Mty YearFrac], Summary_Deposit[[#This Row],[Target Index]])</f>
        <v>2.7397260273972603E-3</v>
      </c>
      <c r="E2" s="2">
        <f>INDEX(MarketTable[Market Rate], Summary_Deposit[[#This Row],[Target Index]])</f>
        <v>2.5000000000000001E-2</v>
      </c>
      <c r="F2">
        <f>(1 + Summary_Deposit[[#This Row],[Market Rate]] * Summary_Deposit[[#This Row],[Target YearFrac]]) * LogLinearDF_Date(Summary_Deposit[[#This Row],[Target Date]], INDEX(Common[Today],1), MarketTable[Jump Date], MarketTable[Solved Forward], INDEX(Common[DayCount Basis],1))</f>
        <v>1.0000684931506849</v>
      </c>
      <c r="G2">
        <f>Summary_Deposit[[#This Row],[NPV]] - 1</f>
        <v>6.8493150684911797E-5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A2922-FC15-4B93-9972-B278CDD547C3}">
  <sheetPr codeName="Sheet3"/>
  <dimension ref="A1:H45"/>
  <sheetViews>
    <sheetView workbookViewId="0"/>
  </sheetViews>
  <sheetFormatPr defaultRowHeight="16.5" x14ac:dyDescent="0.3"/>
  <cols>
    <col min="1" max="1" width="15.625" bestFit="1" customWidth="1"/>
    <col min="2" max="2" width="16.625" bestFit="1" customWidth="1"/>
    <col min="3" max="3" width="14.5" bestFit="1" customWidth="1"/>
    <col min="4" max="4" width="21.5" bestFit="1" customWidth="1"/>
    <col min="5" max="5" width="14.875" bestFit="1" customWidth="1"/>
    <col min="6" max="6" width="12.875" bestFit="1" customWidth="1"/>
    <col min="7" max="7" width="15.75" bestFit="1" customWidth="1"/>
    <col min="8" max="8" width="12.625" bestFit="1" customWidth="1"/>
  </cols>
  <sheetData>
    <row r="1" spans="1:8" x14ac:dyDescent="0.3">
      <c r="A1" t="s">
        <v>18</v>
      </c>
      <c r="B1" t="s">
        <v>19</v>
      </c>
      <c r="C1" t="s">
        <v>20</v>
      </c>
      <c r="D1" t="s">
        <v>21</v>
      </c>
      <c r="E1" t="s">
        <v>11</v>
      </c>
      <c r="F1" t="s">
        <v>29</v>
      </c>
      <c r="G1" t="s">
        <v>30</v>
      </c>
      <c r="H1" t="s">
        <v>23</v>
      </c>
    </row>
    <row r="2" spans="1:8" x14ac:dyDescent="0.3">
      <c r="A2" t="str">
        <f>INDEX(MarketTable[Inst. Tenor], Summary_IRS[[#This Row],[Target Index]])</f>
        <v>18M</v>
      </c>
      <c r="B2">
        <v>6</v>
      </c>
      <c r="C2" s="1">
        <f>INDEX(MarketTable[Mty Date], Summary_IRS[[#This Row],[Target Index]])</f>
        <v>46576</v>
      </c>
      <c r="D2">
        <f>INDEX(MarketTable[Mty YearFrac], Summary_IRS[[#This Row],[Target Index]])</f>
        <v>1.4958904109589042</v>
      </c>
      <c r="E2" s="2">
        <f>INDEX(MarketTable[Market Rate], Summary_IRS[[#This Row],[Target Index]])</f>
        <v>2.8025000000000001E-2</v>
      </c>
      <c r="F2">
        <f>SUMIFS(CalcTable_IRS[DCF], CalcTable_IRS[Payment Date], "&lt;=" &amp; Summary_IRS[[#This Row],[Target Date]] + 0.5)</f>
        <v>3.503125E-2</v>
      </c>
      <c r="G2">
        <f>1 - LogLinearDF_Date(Summary_IRS[[#This Row],[Target Date]], INDEX(Common[Today],1), MarketTable[Jump Date], MarketTable[Solved Forward], INDEX(Common[DayCount Basis],1))</f>
        <v>0</v>
      </c>
      <c r="H2">
        <f>Summary_IRS[[#This Row],[NPV Fixed]] - Summary_IRS[[#This Row],[NPV Floating]]</f>
        <v>3.503125E-2</v>
      </c>
    </row>
    <row r="5" spans="1:8" x14ac:dyDescent="0.3">
      <c r="A5" t="s">
        <v>4</v>
      </c>
      <c r="B5" t="s">
        <v>24</v>
      </c>
      <c r="C5" t="s">
        <v>25</v>
      </c>
      <c r="D5" t="s">
        <v>26</v>
      </c>
      <c r="E5" t="s">
        <v>27</v>
      </c>
      <c r="F5" t="s">
        <v>28</v>
      </c>
    </row>
    <row r="6" spans="1:8" x14ac:dyDescent="0.3">
      <c r="A6">
        <v>1</v>
      </c>
      <c r="B6" s="1">
        <v>46121</v>
      </c>
      <c r="C6">
        <f>CalcYF(INDEX(Common[Today],1), CalcTable_IRS[[#This Row],[Payment Date]], INDEX(Common[DayCount Basis],1))</f>
        <v>0.24931506849315069</v>
      </c>
      <c r="D6">
        <f>INDEX(Summary_IRS[Market Rate],1) * 0.25</f>
        <v>7.0062500000000003E-3</v>
      </c>
      <c r="E6">
        <f>LogLinearDF_Date(CalcTable_IRS[[#This Row],[Payment Date]], INDEX(Common[Today],1), MarketTable[Jump Date], MarketTable[Solved Forward], INDEX(Common[DayCount Basis],1))</f>
        <v>1</v>
      </c>
      <c r="F6">
        <f>CalcTable_IRS[[#This Row],[Expected CashFlow]] * CalcTable_IRS[[#This Row],[DF]]</f>
        <v>7.0062500000000003E-3</v>
      </c>
    </row>
    <row r="7" spans="1:8" x14ac:dyDescent="0.3">
      <c r="A7">
        <v>2</v>
      </c>
      <c r="B7" s="1">
        <v>46212</v>
      </c>
      <c r="C7">
        <f>CalcYF(INDEX(Common[Today],1), CalcTable_IRS[[#This Row],[Payment Date]], INDEX(Common[DayCount Basis],1))</f>
        <v>0.49863013698630138</v>
      </c>
      <c r="D7">
        <f>INDEX(Summary_IRS[Market Rate],1) * 0.25</f>
        <v>7.0062500000000003E-3</v>
      </c>
      <c r="E7">
        <f>LogLinearDF_Date(CalcTable_IRS[[#This Row],[Payment Date]], INDEX(Common[Today],1), MarketTable[Jump Date], MarketTable[Solved Forward], INDEX(Common[DayCount Basis],1))</f>
        <v>1</v>
      </c>
      <c r="F7">
        <f>CalcTable_IRS[[#This Row],[Expected CashFlow]] * CalcTable_IRS[[#This Row],[DF]]</f>
        <v>7.0062500000000003E-3</v>
      </c>
    </row>
    <row r="8" spans="1:8" x14ac:dyDescent="0.3">
      <c r="A8">
        <v>3</v>
      </c>
      <c r="B8" s="1">
        <v>46304</v>
      </c>
      <c r="C8">
        <f>CalcYF(INDEX(Common[Today],1), CalcTable_IRS[[#This Row],[Payment Date]], INDEX(Common[DayCount Basis],1))</f>
        <v>0.75068493150684934</v>
      </c>
      <c r="D8">
        <f>INDEX(Summary_IRS[Market Rate],1) * 0.25</f>
        <v>7.0062500000000003E-3</v>
      </c>
      <c r="E8">
        <f>LogLinearDF_Date(CalcTable_IRS[[#This Row],[Payment Date]], INDEX(Common[Today],1), MarketTable[Jump Date], MarketTable[Solved Forward], INDEX(Common[DayCount Basis],1))</f>
        <v>1</v>
      </c>
      <c r="F8">
        <f>CalcTable_IRS[[#This Row],[Expected CashFlow]] * CalcTable_IRS[[#This Row],[DF]]</f>
        <v>7.0062500000000003E-3</v>
      </c>
    </row>
    <row r="9" spans="1:8" x14ac:dyDescent="0.3">
      <c r="A9">
        <v>4</v>
      </c>
      <c r="B9" s="1">
        <v>46396</v>
      </c>
      <c r="C9">
        <f>CalcYF(INDEX(Common[Today],1), CalcTable_IRS[[#This Row],[Payment Date]], INDEX(Common[DayCount Basis],1))</f>
        <v>1.0027397260273974</v>
      </c>
      <c r="D9">
        <f>INDEX(Summary_IRS[Market Rate],1) * 0.25</f>
        <v>7.0062500000000003E-3</v>
      </c>
      <c r="E9">
        <f>LogLinearDF_Date(CalcTable_IRS[[#This Row],[Payment Date]], INDEX(Common[Today],1), MarketTable[Jump Date], MarketTable[Solved Forward], INDEX(Common[DayCount Basis],1))</f>
        <v>1</v>
      </c>
      <c r="F9">
        <f>CalcTable_IRS[[#This Row],[Expected CashFlow]] * CalcTable_IRS[[#This Row],[DF]]</f>
        <v>7.0062500000000003E-3</v>
      </c>
    </row>
    <row r="10" spans="1:8" x14ac:dyDescent="0.3">
      <c r="A10">
        <v>5</v>
      </c>
      <c r="B10" s="1">
        <v>46486</v>
      </c>
      <c r="C10">
        <f>CalcYF(INDEX(Common[Today],1), CalcTable_IRS[[#This Row],[Payment Date]], INDEX(Common[DayCount Basis],1))</f>
        <v>1.2493150684931507</v>
      </c>
      <c r="D10">
        <f>INDEX(Summary_IRS[Market Rate],1) * 0.25</f>
        <v>7.0062500000000003E-3</v>
      </c>
      <c r="E10">
        <f>LogLinearDF_Date(CalcTable_IRS[[#This Row],[Payment Date]], INDEX(Common[Today],1), MarketTable[Jump Date], MarketTable[Solved Forward], INDEX(Common[DayCount Basis],1))</f>
        <v>1</v>
      </c>
      <c r="F10">
        <f>CalcTable_IRS[[#This Row],[Expected CashFlow]] * CalcTable_IRS[[#This Row],[DF]]</f>
        <v>7.0062500000000003E-3</v>
      </c>
    </row>
    <row r="11" spans="1:8" x14ac:dyDescent="0.3">
      <c r="A11">
        <v>6</v>
      </c>
      <c r="B11" s="1">
        <v>46577</v>
      </c>
      <c r="C11">
        <f>CalcYF(INDEX(Common[Today],1), CalcTable_IRS[[#This Row],[Payment Date]], INDEX(Common[DayCount Basis],1))</f>
        <v>1.4986301369863013</v>
      </c>
      <c r="D11">
        <f>INDEX(Summary_IRS[Market Rate],1) * 0.25</f>
        <v>7.0062500000000003E-3</v>
      </c>
      <c r="E11">
        <f>LogLinearDF_Date(CalcTable_IRS[[#This Row],[Payment Date]], INDEX(Common[Today],1), MarketTable[Jump Date], MarketTable[Solved Forward], INDEX(Common[DayCount Basis],1))</f>
        <v>1</v>
      </c>
      <c r="F11">
        <f>CalcTable_IRS[[#This Row],[Expected CashFlow]] * CalcTable_IRS[[#This Row],[DF]]</f>
        <v>7.0062500000000003E-3</v>
      </c>
    </row>
    <row r="12" spans="1:8" x14ac:dyDescent="0.3">
      <c r="A12">
        <v>7</v>
      </c>
      <c r="B12" s="1">
        <v>46669</v>
      </c>
      <c r="C12">
        <f>CalcYF(INDEX(Common[Today],1), CalcTable_IRS[[#This Row],[Payment Date]], INDEX(Common[DayCount Basis],1))</f>
        <v>1.7506849315068493</v>
      </c>
      <c r="D12">
        <f>INDEX(Summary_IRS[Market Rate],1) * 0.25</f>
        <v>7.0062500000000003E-3</v>
      </c>
      <c r="E12">
        <f>LogLinearDF_Date(CalcTable_IRS[[#This Row],[Payment Date]], INDEX(Common[Today],1), MarketTable[Jump Date], MarketTable[Solved Forward], INDEX(Common[DayCount Basis],1))</f>
        <v>1</v>
      </c>
      <c r="F12">
        <f>CalcTable_IRS[[#This Row],[Expected CashFlow]] * CalcTable_IRS[[#This Row],[DF]]</f>
        <v>7.0062500000000003E-3</v>
      </c>
    </row>
    <row r="13" spans="1:8" x14ac:dyDescent="0.3">
      <c r="A13">
        <v>8</v>
      </c>
      <c r="B13" s="1">
        <v>46761</v>
      </c>
      <c r="C13">
        <f>CalcYF(INDEX(Common[Today],1), CalcTable_IRS[[#This Row],[Payment Date]], INDEX(Common[DayCount Basis],1))</f>
        <v>2.0027397260273974</v>
      </c>
      <c r="D13">
        <f>INDEX(Summary_IRS[Market Rate],1) * 0.25</f>
        <v>7.0062500000000003E-3</v>
      </c>
      <c r="E13">
        <f>LogLinearDF_Date(CalcTable_IRS[[#This Row],[Payment Date]], INDEX(Common[Today],1), MarketTable[Jump Date], MarketTable[Solved Forward], INDEX(Common[DayCount Basis],1))</f>
        <v>1</v>
      </c>
      <c r="F13">
        <f>CalcTable_IRS[[#This Row],[Expected CashFlow]] * CalcTable_IRS[[#This Row],[DF]]</f>
        <v>7.0062500000000003E-3</v>
      </c>
    </row>
    <row r="14" spans="1:8" x14ac:dyDescent="0.3">
      <c r="A14">
        <v>9</v>
      </c>
      <c r="B14" s="1">
        <v>46852</v>
      </c>
      <c r="C14">
        <f>CalcYF(INDEX(Common[Today],1), CalcTable_IRS[[#This Row],[Payment Date]], INDEX(Common[DayCount Basis],1))</f>
        <v>2.2520547945205478</v>
      </c>
      <c r="D14">
        <f>INDEX(Summary_IRS[Market Rate],1) * 0.25</f>
        <v>7.0062500000000003E-3</v>
      </c>
      <c r="E14">
        <f>LogLinearDF_Date(CalcTable_IRS[[#This Row],[Payment Date]], INDEX(Common[Today],1), MarketTable[Jump Date], MarketTable[Solved Forward], INDEX(Common[DayCount Basis],1))</f>
        <v>1</v>
      </c>
      <c r="F14">
        <f>CalcTable_IRS[[#This Row],[Expected CashFlow]] * CalcTable_IRS[[#This Row],[DF]]</f>
        <v>7.0062500000000003E-3</v>
      </c>
    </row>
    <row r="15" spans="1:8" x14ac:dyDescent="0.3">
      <c r="A15">
        <v>10</v>
      </c>
      <c r="B15" s="1">
        <v>46943</v>
      </c>
      <c r="C15">
        <f>CalcYF(INDEX(Common[Today],1), CalcTable_IRS[[#This Row],[Payment Date]], INDEX(Common[DayCount Basis],1))</f>
        <v>2.5013698630136987</v>
      </c>
      <c r="D15">
        <f>INDEX(Summary_IRS[Market Rate],1) * 0.25</f>
        <v>7.0062500000000003E-3</v>
      </c>
      <c r="E15">
        <f>LogLinearDF_Date(CalcTable_IRS[[#This Row],[Payment Date]], INDEX(Common[Today],1), MarketTable[Jump Date], MarketTable[Solved Forward], INDEX(Common[DayCount Basis],1))</f>
        <v>1</v>
      </c>
      <c r="F15">
        <f>CalcTable_IRS[[#This Row],[Expected CashFlow]] * CalcTable_IRS[[#This Row],[DF]]</f>
        <v>7.0062500000000003E-3</v>
      </c>
    </row>
    <row r="16" spans="1:8" x14ac:dyDescent="0.3">
      <c r="A16">
        <v>11</v>
      </c>
      <c r="B16" s="1">
        <v>47035</v>
      </c>
      <c r="C16">
        <f>CalcYF(INDEX(Common[Today],1), CalcTable_IRS[[#This Row],[Payment Date]], INDEX(Common[DayCount Basis],1))</f>
        <v>2.7534246575342465</v>
      </c>
      <c r="D16">
        <f>INDEX(Summary_IRS[Market Rate],1) * 0.25</f>
        <v>7.0062500000000003E-3</v>
      </c>
      <c r="E16">
        <f>LogLinearDF_Date(CalcTable_IRS[[#This Row],[Payment Date]], INDEX(Common[Today],1), MarketTable[Jump Date], MarketTable[Solved Forward], INDEX(Common[DayCount Basis],1))</f>
        <v>1</v>
      </c>
      <c r="F16">
        <f>CalcTable_IRS[[#This Row],[Expected CashFlow]] * CalcTable_IRS[[#This Row],[DF]]</f>
        <v>7.0062500000000003E-3</v>
      </c>
    </row>
    <row r="17" spans="1:6" x14ac:dyDescent="0.3">
      <c r="A17">
        <v>12</v>
      </c>
      <c r="B17" s="1">
        <v>47127</v>
      </c>
      <c r="C17">
        <f>CalcYF(INDEX(Common[Today],1), CalcTable_IRS[[#This Row],[Payment Date]], INDEX(Common[DayCount Basis],1))</f>
        <v>3.0054794520547947</v>
      </c>
      <c r="D17">
        <f>INDEX(Summary_IRS[Market Rate],1) * 0.25</f>
        <v>7.0062500000000003E-3</v>
      </c>
      <c r="E17">
        <f>LogLinearDF_Date(CalcTable_IRS[[#This Row],[Payment Date]], INDEX(Common[Today],1), MarketTable[Jump Date], MarketTable[Solved Forward], INDEX(Common[DayCount Basis],1))</f>
        <v>1</v>
      </c>
      <c r="F17">
        <f>CalcTable_IRS[[#This Row],[Expected CashFlow]] * CalcTable_IRS[[#This Row],[DF]]</f>
        <v>7.0062500000000003E-3</v>
      </c>
    </row>
    <row r="18" spans="1:6" x14ac:dyDescent="0.3">
      <c r="A18">
        <v>13</v>
      </c>
      <c r="B18" s="1">
        <v>47217</v>
      </c>
      <c r="C18">
        <f>CalcYF(INDEX(Common[Today],1), CalcTable_IRS[[#This Row],[Payment Date]], INDEX(Common[DayCount Basis],1))</f>
        <v>3.2520547945205478</v>
      </c>
      <c r="D18">
        <f>INDEX(Summary_IRS[Market Rate],1) * 0.25</f>
        <v>7.0062500000000003E-3</v>
      </c>
      <c r="E18">
        <f>LogLinearDF_Date(CalcTable_IRS[[#This Row],[Payment Date]], INDEX(Common[Today],1), MarketTable[Jump Date], MarketTable[Solved Forward], INDEX(Common[DayCount Basis],1))</f>
        <v>1</v>
      </c>
      <c r="F18">
        <f>CalcTable_IRS[[#This Row],[Expected CashFlow]] * CalcTable_IRS[[#This Row],[DF]]</f>
        <v>7.0062500000000003E-3</v>
      </c>
    </row>
    <row r="19" spans="1:6" x14ac:dyDescent="0.3">
      <c r="A19">
        <v>14</v>
      </c>
      <c r="B19" s="1">
        <v>47308</v>
      </c>
      <c r="C19">
        <f>CalcYF(INDEX(Common[Today],1), CalcTable_IRS[[#This Row],[Payment Date]], INDEX(Common[DayCount Basis],1))</f>
        <v>3.5013698630136987</v>
      </c>
      <c r="D19">
        <f>INDEX(Summary_IRS[Market Rate],1) * 0.25</f>
        <v>7.0062500000000003E-3</v>
      </c>
      <c r="E19">
        <f>LogLinearDF_Date(CalcTable_IRS[[#This Row],[Payment Date]], INDEX(Common[Today],1), MarketTable[Jump Date], MarketTable[Solved Forward], INDEX(Common[DayCount Basis],1))</f>
        <v>1</v>
      </c>
      <c r="F19">
        <f>CalcTable_IRS[[#This Row],[Expected CashFlow]] * CalcTable_IRS[[#This Row],[DF]]</f>
        <v>7.0062500000000003E-3</v>
      </c>
    </row>
    <row r="20" spans="1:6" x14ac:dyDescent="0.3">
      <c r="A20">
        <v>15</v>
      </c>
      <c r="B20" s="1">
        <v>47400</v>
      </c>
      <c r="C20">
        <f>CalcYF(INDEX(Common[Today],1), CalcTable_IRS[[#This Row],[Payment Date]], INDEX(Common[DayCount Basis],1))</f>
        <v>3.7534246575342465</v>
      </c>
      <c r="D20">
        <f>INDEX(Summary_IRS[Market Rate],1) * 0.25</f>
        <v>7.0062500000000003E-3</v>
      </c>
      <c r="E20">
        <f>LogLinearDF_Date(CalcTable_IRS[[#This Row],[Payment Date]], INDEX(Common[Today],1), MarketTable[Jump Date], MarketTable[Solved Forward], INDEX(Common[DayCount Basis],1))</f>
        <v>1</v>
      </c>
      <c r="F20">
        <f>CalcTable_IRS[[#This Row],[Expected CashFlow]] * CalcTable_IRS[[#This Row],[DF]]</f>
        <v>7.0062500000000003E-3</v>
      </c>
    </row>
    <row r="21" spans="1:6" x14ac:dyDescent="0.3">
      <c r="A21">
        <v>16</v>
      </c>
      <c r="B21" s="1">
        <v>47492</v>
      </c>
      <c r="C21">
        <f>CalcYF(INDEX(Common[Today],1), CalcTable_IRS[[#This Row],[Payment Date]], INDEX(Common[DayCount Basis],1))</f>
        <v>4.0054794520547947</v>
      </c>
      <c r="D21">
        <f>INDEX(Summary_IRS[Market Rate],1) * 0.25</f>
        <v>7.0062500000000003E-3</v>
      </c>
      <c r="E21">
        <f>LogLinearDF_Date(CalcTable_IRS[[#This Row],[Payment Date]], INDEX(Common[Today],1), MarketTable[Jump Date], MarketTable[Solved Forward], INDEX(Common[DayCount Basis],1))</f>
        <v>1</v>
      </c>
      <c r="F21">
        <f>CalcTable_IRS[[#This Row],[Expected CashFlow]] * CalcTable_IRS[[#This Row],[DF]]</f>
        <v>7.0062500000000003E-3</v>
      </c>
    </row>
    <row r="22" spans="1:6" x14ac:dyDescent="0.3">
      <c r="A22">
        <v>17</v>
      </c>
      <c r="B22" s="1">
        <v>47582</v>
      </c>
      <c r="C22">
        <f>CalcYF(INDEX(Common[Today],1), CalcTable_IRS[[#This Row],[Payment Date]], INDEX(Common[DayCount Basis],1))</f>
        <v>4.2520547945205482</v>
      </c>
      <c r="D22">
        <f>INDEX(Summary_IRS[Market Rate],1) * 0.25</f>
        <v>7.0062500000000003E-3</v>
      </c>
      <c r="E22">
        <f>LogLinearDF_Date(CalcTable_IRS[[#This Row],[Payment Date]], INDEX(Common[Today],1), MarketTable[Jump Date], MarketTable[Solved Forward], INDEX(Common[DayCount Basis],1))</f>
        <v>1</v>
      </c>
      <c r="F22">
        <f>CalcTable_IRS[[#This Row],[Expected CashFlow]] * CalcTable_IRS[[#This Row],[DF]]</f>
        <v>7.0062500000000003E-3</v>
      </c>
    </row>
    <row r="23" spans="1:6" x14ac:dyDescent="0.3">
      <c r="A23">
        <v>18</v>
      </c>
      <c r="B23" s="1">
        <v>47673</v>
      </c>
      <c r="C23">
        <f>CalcYF(INDEX(Common[Today],1), CalcTable_IRS[[#This Row],[Payment Date]], INDEX(Common[DayCount Basis],1))</f>
        <v>4.5013698630136982</v>
      </c>
      <c r="D23">
        <f>INDEX(Summary_IRS[Market Rate],1) * 0.25</f>
        <v>7.0062500000000003E-3</v>
      </c>
      <c r="E23">
        <f>LogLinearDF_Date(CalcTable_IRS[[#This Row],[Payment Date]], INDEX(Common[Today],1), MarketTable[Jump Date], MarketTable[Solved Forward], INDEX(Common[DayCount Basis],1))</f>
        <v>1</v>
      </c>
      <c r="F23">
        <f>CalcTable_IRS[[#This Row],[Expected CashFlow]] * CalcTable_IRS[[#This Row],[DF]]</f>
        <v>7.0062500000000003E-3</v>
      </c>
    </row>
    <row r="24" spans="1:6" x14ac:dyDescent="0.3">
      <c r="A24">
        <v>19</v>
      </c>
      <c r="B24" s="1">
        <v>47765</v>
      </c>
      <c r="C24">
        <f>CalcYF(INDEX(Common[Today],1), CalcTable_IRS[[#This Row],[Payment Date]], INDEX(Common[DayCount Basis],1))</f>
        <v>4.7534246575342465</v>
      </c>
      <c r="D24">
        <f>INDEX(Summary_IRS[Market Rate],1) * 0.25</f>
        <v>7.0062500000000003E-3</v>
      </c>
      <c r="E24">
        <f>LogLinearDF_Date(CalcTable_IRS[[#This Row],[Payment Date]], INDEX(Common[Today],1), MarketTable[Jump Date], MarketTable[Solved Forward], INDEX(Common[DayCount Basis],1))</f>
        <v>1</v>
      </c>
      <c r="F24">
        <f>CalcTable_IRS[[#This Row],[Expected CashFlow]] * CalcTable_IRS[[#This Row],[DF]]</f>
        <v>7.0062500000000003E-3</v>
      </c>
    </row>
    <row r="25" spans="1:6" x14ac:dyDescent="0.3">
      <c r="A25">
        <v>20</v>
      </c>
      <c r="B25" s="1">
        <v>47857</v>
      </c>
      <c r="C25">
        <f>CalcYF(INDEX(Common[Today],1), CalcTable_IRS[[#This Row],[Payment Date]], INDEX(Common[DayCount Basis],1))</f>
        <v>5.0054794520547947</v>
      </c>
      <c r="D25">
        <f>INDEX(Summary_IRS[Market Rate],1) * 0.25</f>
        <v>7.0062500000000003E-3</v>
      </c>
      <c r="E25">
        <f>LogLinearDF_Date(CalcTable_IRS[[#This Row],[Payment Date]], INDEX(Common[Today],1), MarketTable[Jump Date], MarketTable[Solved Forward], INDEX(Common[DayCount Basis],1))</f>
        <v>1</v>
      </c>
      <c r="F25">
        <f>CalcTable_IRS[[#This Row],[Expected CashFlow]] * CalcTable_IRS[[#This Row],[DF]]</f>
        <v>7.0062500000000003E-3</v>
      </c>
    </row>
    <row r="26" spans="1:6" x14ac:dyDescent="0.3">
      <c r="A26">
        <v>21</v>
      </c>
      <c r="B26" s="1">
        <v>47947</v>
      </c>
      <c r="C26">
        <f>CalcYF(INDEX(Common[Today],1), CalcTable_IRS[[#This Row],[Payment Date]], INDEX(Common[DayCount Basis],1))</f>
        <v>5.2520547945205482</v>
      </c>
      <c r="D26">
        <f>INDEX(Summary_IRS[Market Rate],1) * 0.25</f>
        <v>7.0062500000000003E-3</v>
      </c>
      <c r="E26">
        <f>LogLinearDF_Date(CalcTable_IRS[[#This Row],[Payment Date]], INDEX(Common[Today],1), MarketTable[Jump Date], MarketTable[Solved Forward], INDEX(Common[DayCount Basis],1))</f>
        <v>1</v>
      </c>
      <c r="F26">
        <f>CalcTable_IRS[[#This Row],[Expected CashFlow]] * CalcTable_IRS[[#This Row],[DF]]</f>
        <v>7.0062500000000003E-3</v>
      </c>
    </row>
    <row r="27" spans="1:6" x14ac:dyDescent="0.3">
      <c r="A27">
        <v>22</v>
      </c>
      <c r="B27" s="1">
        <v>48038</v>
      </c>
      <c r="C27">
        <f>CalcYF(INDEX(Common[Today],1), CalcTable_IRS[[#This Row],[Payment Date]], INDEX(Common[DayCount Basis],1))</f>
        <v>5.5013698630136982</v>
      </c>
      <c r="D27">
        <f>INDEX(Summary_IRS[Market Rate],1) * 0.25</f>
        <v>7.0062500000000003E-3</v>
      </c>
      <c r="E27">
        <f>LogLinearDF_Date(CalcTable_IRS[[#This Row],[Payment Date]], INDEX(Common[Today],1), MarketTable[Jump Date], MarketTable[Solved Forward], INDEX(Common[DayCount Basis],1))</f>
        <v>1</v>
      </c>
      <c r="F27">
        <f>CalcTable_IRS[[#This Row],[Expected CashFlow]] * CalcTable_IRS[[#This Row],[DF]]</f>
        <v>7.0062500000000003E-3</v>
      </c>
    </row>
    <row r="28" spans="1:6" x14ac:dyDescent="0.3">
      <c r="A28">
        <v>23</v>
      </c>
      <c r="B28" s="1">
        <v>48130</v>
      </c>
      <c r="C28">
        <f>CalcYF(INDEX(Common[Today],1), CalcTable_IRS[[#This Row],[Payment Date]], INDEX(Common[DayCount Basis],1))</f>
        <v>5.7534246575342465</v>
      </c>
      <c r="D28">
        <f>INDEX(Summary_IRS[Market Rate],1) * 0.25</f>
        <v>7.0062500000000003E-3</v>
      </c>
      <c r="E28">
        <f>LogLinearDF_Date(CalcTable_IRS[[#This Row],[Payment Date]], INDEX(Common[Today],1), MarketTable[Jump Date], MarketTable[Solved Forward], INDEX(Common[DayCount Basis],1))</f>
        <v>1</v>
      </c>
      <c r="F28">
        <f>CalcTable_IRS[[#This Row],[Expected CashFlow]] * CalcTable_IRS[[#This Row],[DF]]</f>
        <v>7.0062500000000003E-3</v>
      </c>
    </row>
    <row r="29" spans="1:6" x14ac:dyDescent="0.3">
      <c r="A29">
        <v>24</v>
      </c>
      <c r="B29" s="1">
        <v>48222</v>
      </c>
      <c r="C29">
        <f>CalcYF(INDEX(Common[Today],1), CalcTable_IRS[[#This Row],[Payment Date]], INDEX(Common[DayCount Basis],1))</f>
        <v>6.0054794520547947</v>
      </c>
      <c r="D29">
        <f>INDEX(Summary_IRS[Market Rate],1) * 0.25</f>
        <v>7.0062500000000003E-3</v>
      </c>
      <c r="E29">
        <f>LogLinearDF_Date(CalcTable_IRS[[#This Row],[Payment Date]], INDEX(Common[Today],1), MarketTable[Jump Date], MarketTable[Solved Forward], INDEX(Common[DayCount Basis],1))</f>
        <v>1</v>
      </c>
      <c r="F29">
        <f>CalcTable_IRS[[#This Row],[Expected CashFlow]] * CalcTable_IRS[[#This Row],[DF]]</f>
        <v>7.0062500000000003E-3</v>
      </c>
    </row>
    <row r="30" spans="1:6" x14ac:dyDescent="0.3">
      <c r="A30">
        <v>25</v>
      </c>
      <c r="B30" s="1">
        <v>48313</v>
      </c>
      <c r="C30">
        <f>CalcYF(INDEX(Common[Today],1), CalcTable_IRS[[#This Row],[Payment Date]], INDEX(Common[DayCount Basis],1))</f>
        <v>6.2547945205479456</v>
      </c>
      <c r="D30">
        <f>INDEX(Summary_IRS[Market Rate],1) * 0.25</f>
        <v>7.0062500000000003E-3</v>
      </c>
      <c r="E30">
        <f>LogLinearDF_Date(CalcTable_IRS[[#This Row],[Payment Date]], INDEX(Common[Today],1), MarketTable[Jump Date], MarketTable[Solved Forward], INDEX(Common[DayCount Basis],1))</f>
        <v>1</v>
      </c>
      <c r="F30">
        <f>CalcTable_IRS[[#This Row],[Expected CashFlow]] * CalcTable_IRS[[#This Row],[DF]]</f>
        <v>7.0062500000000003E-3</v>
      </c>
    </row>
    <row r="31" spans="1:6" x14ac:dyDescent="0.3">
      <c r="A31">
        <v>26</v>
      </c>
      <c r="B31" s="1">
        <v>48404</v>
      </c>
      <c r="C31">
        <f>CalcYF(INDEX(Common[Today],1), CalcTable_IRS[[#This Row],[Payment Date]], INDEX(Common[DayCount Basis],1))</f>
        <v>6.5041095890410956</v>
      </c>
      <c r="D31">
        <f>INDEX(Summary_IRS[Market Rate],1) * 0.25</f>
        <v>7.0062500000000003E-3</v>
      </c>
      <c r="E31">
        <f>LogLinearDF_Date(CalcTable_IRS[[#This Row],[Payment Date]], INDEX(Common[Today],1), MarketTable[Jump Date], MarketTable[Solved Forward], INDEX(Common[DayCount Basis],1))</f>
        <v>1</v>
      </c>
      <c r="F31">
        <f>CalcTable_IRS[[#This Row],[Expected CashFlow]] * CalcTable_IRS[[#This Row],[DF]]</f>
        <v>7.0062500000000003E-3</v>
      </c>
    </row>
    <row r="32" spans="1:6" x14ac:dyDescent="0.3">
      <c r="A32">
        <v>27</v>
      </c>
      <c r="B32" s="1">
        <v>48496</v>
      </c>
      <c r="C32">
        <f>CalcYF(INDEX(Common[Today],1), CalcTable_IRS[[#This Row],[Payment Date]], INDEX(Common[DayCount Basis],1))</f>
        <v>6.7561643835616438</v>
      </c>
      <c r="D32">
        <f>INDEX(Summary_IRS[Market Rate],1) * 0.25</f>
        <v>7.0062500000000003E-3</v>
      </c>
      <c r="E32">
        <f>LogLinearDF_Date(CalcTable_IRS[[#This Row],[Payment Date]], INDEX(Common[Today],1), MarketTable[Jump Date], MarketTable[Solved Forward], INDEX(Common[DayCount Basis],1))</f>
        <v>1</v>
      </c>
      <c r="F32">
        <f>CalcTable_IRS[[#This Row],[Expected CashFlow]] * CalcTable_IRS[[#This Row],[DF]]</f>
        <v>7.0062500000000003E-3</v>
      </c>
    </row>
    <row r="33" spans="1:6" x14ac:dyDescent="0.3">
      <c r="A33">
        <v>28</v>
      </c>
      <c r="B33" s="1">
        <v>48588</v>
      </c>
      <c r="C33">
        <f>CalcYF(INDEX(Common[Today],1), CalcTable_IRS[[#This Row],[Payment Date]], INDEX(Common[DayCount Basis],1))</f>
        <v>7.0082191780821921</v>
      </c>
      <c r="D33">
        <f>INDEX(Summary_IRS[Market Rate],1) * 0.25</f>
        <v>7.0062500000000003E-3</v>
      </c>
      <c r="E33">
        <f>LogLinearDF_Date(CalcTable_IRS[[#This Row],[Payment Date]], INDEX(Common[Today],1), MarketTable[Jump Date], MarketTable[Solved Forward], INDEX(Common[DayCount Basis],1))</f>
        <v>1</v>
      </c>
      <c r="F33">
        <f>CalcTable_IRS[[#This Row],[Expected CashFlow]] * CalcTable_IRS[[#This Row],[DF]]</f>
        <v>7.0062500000000003E-3</v>
      </c>
    </row>
    <row r="34" spans="1:6" x14ac:dyDescent="0.3">
      <c r="A34">
        <v>29</v>
      </c>
      <c r="B34" s="1">
        <v>48678</v>
      </c>
      <c r="C34">
        <f>CalcYF(INDEX(Common[Today],1), CalcTable_IRS[[#This Row],[Payment Date]], INDEX(Common[DayCount Basis],1))</f>
        <v>7.2547945205479456</v>
      </c>
      <c r="D34">
        <f>INDEX(Summary_IRS[Market Rate],1) * 0.25</f>
        <v>7.0062500000000003E-3</v>
      </c>
      <c r="E34">
        <f>LogLinearDF_Date(CalcTable_IRS[[#This Row],[Payment Date]], INDEX(Common[Today],1), MarketTable[Jump Date], MarketTable[Solved Forward], INDEX(Common[DayCount Basis],1))</f>
        <v>1</v>
      </c>
      <c r="F34">
        <f>CalcTable_IRS[[#This Row],[Expected CashFlow]] * CalcTable_IRS[[#This Row],[DF]]</f>
        <v>7.0062500000000003E-3</v>
      </c>
    </row>
    <row r="35" spans="1:6" x14ac:dyDescent="0.3">
      <c r="A35">
        <v>30</v>
      </c>
      <c r="B35" s="1">
        <v>48769</v>
      </c>
      <c r="C35">
        <f>CalcYF(INDEX(Common[Today],1), CalcTable_IRS[[#This Row],[Payment Date]], INDEX(Common[DayCount Basis],1))</f>
        <v>7.5041095890410956</v>
      </c>
      <c r="D35">
        <f>INDEX(Summary_IRS[Market Rate],1) * 0.25</f>
        <v>7.0062500000000003E-3</v>
      </c>
      <c r="E35">
        <f>LogLinearDF_Date(CalcTable_IRS[[#This Row],[Payment Date]], INDEX(Common[Today],1), MarketTable[Jump Date], MarketTable[Solved Forward], INDEX(Common[DayCount Basis],1))</f>
        <v>1</v>
      </c>
      <c r="F35">
        <f>CalcTable_IRS[[#This Row],[Expected CashFlow]] * CalcTable_IRS[[#This Row],[DF]]</f>
        <v>7.0062500000000003E-3</v>
      </c>
    </row>
    <row r="36" spans="1:6" x14ac:dyDescent="0.3">
      <c r="A36">
        <v>31</v>
      </c>
      <c r="B36" s="1">
        <v>48861</v>
      </c>
      <c r="C36">
        <f>CalcYF(INDEX(Common[Today],1), CalcTable_IRS[[#This Row],[Payment Date]], INDEX(Common[DayCount Basis],1))</f>
        <v>7.7561643835616438</v>
      </c>
      <c r="D36">
        <f>INDEX(Summary_IRS[Market Rate],1) * 0.25</f>
        <v>7.0062500000000003E-3</v>
      </c>
      <c r="E36">
        <f>LogLinearDF_Date(CalcTable_IRS[[#This Row],[Payment Date]], INDEX(Common[Today],1), MarketTable[Jump Date], MarketTable[Solved Forward], INDEX(Common[DayCount Basis],1))</f>
        <v>1</v>
      </c>
      <c r="F36">
        <f>CalcTable_IRS[[#This Row],[Expected CashFlow]] * CalcTable_IRS[[#This Row],[DF]]</f>
        <v>7.0062500000000003E-3</v>
      </c>
    </row>
    <row r="37" spans="1:6" x14ac:dyDescent="0.3">
      <c r="A37">
        <v>32</v>
      </c>
      <c r="B37" s="1">
        <v>48953</v>
      </c>
      <c r="C37">
        <f>CalcYF(INDEX(Common[Today],1), CalcTable_IRS[[#This Row],[Payment Date]], INDEX(Common[DayCount Basis],1))</f>
        <v>8.0082191780821912</v>
      </c>
      <c r="D37">
        <f>INDEX(Summary_IRS[Market Rate],1) * 0.25</f>
        <v>7.0062500000000003E-3</v>
      </c>
      <c r="E37">
        <f>LogLinearDF_Date(CalcTable_IRS[[#This Row],[Payment Date]], INDEX(Common[Today],1), MarketTable[Jump Date], MarketTable[Solved Forward], INDEX(Common[DayCount Basis],1))</f>
        <v>1</v>
      </c>
      <c r="F37">
        <f>CalcTable_IRS[[#This Row],[Expected CashFlow]] * CalcTable_IRS[[#This Row],[DF]]</f>
        <v>7.0062500000000003E-3</v>
      </c>
    </row>
    <row r="38" spans="1:6" x14ac:dyDescent="0.3">
      <c r="A38">
        <v>33</v>
      </c>
      <c r="B38" s="1">
        <v>49043</v>
      </c>
      <c r="C38">
        <f>CalcYF(INDEX(Common[Today],1), CalcTable_IRS[[#This Row],[Payment Date]], INDEX(Common[DayCount Basis],1))</f>
        <v>8.2547945205479447</v>
      </c>
      <c r="D38">
        <f>INDEX(Summary_IRS[Market Rate],1) * 0.25</f>
        <v>7.0062500000000003E-3</v>
      </c>
      <c r="E38">
        <f>LogLinearDF_Date(CalcTable_IRS[[#This Row],[Payment Date]], INDEX(Common[Today],1), MarketTable[Jump Date], MarketTable[Solved Forward], INDEX(Common[DayCount Basis],1))</f>
        <v>1</v>
      </c>
      <c r="F38">
        <f>CalcTable_IRS[[#This Row],[Expected CashFlow]] * CalcTable_IRS[[#This Row],[DF]]</f>
        <v>7.0062500000000003E-3</v>
      </c>
    </row>
    <row r="39" spans="1:6" x14ac:dyDescent="0.3">
      <c r="A39">
        <v>34</v>
      </c>
      <c r="B39" s="1">
        <v>49134</v>
      </c>
      <c r="C39">
        <f>CalcYF(INDEX(Common[Today],1), CalcTable_IRS[[#This Row],[Payment Date]], INDEX(Common[DayCount Basis],1))</f>
        <v>8.5041095890410965</v>
      </c>
      <c r="D39">
        <f>INDEX(Summary_IRS[Market Rate],1) * 0.25</f>
        <v>7.0062500000000003E-3</v>
      </c>
      <c r="E39">
        <f>LogLinearDF_Date(CalcTable_IRS[[#This Row],[Payment Date]], INDEX(Common[Today],1), MarketTable[Jump Date], MarketTable[Solved Forward], INDEX(Common[DayCount Basis],1))</f>
        <v>1</v>
      </c>
      <c r="F39">
        <f>CalcTable_IRS[[#This Row],[Expected CashFlow]] * CalcTable_IRS[[#This Row],[DF]]</f>
        <v>7.0062500000000003E-3</v>
      </c>
    </row>
    <row r="40" spans="1:6" x14ac:dyDescent="0.3">
      <c r="A40">
        <v>35</v>
      </c>
      <c r="B40" s="1">
        <v>49226</v>
      </c>
      <c r="C40">
        <f>CalcYF(INDEX(Common[Today],1), CalcTable_IRS[[#This Row],[Payment Date]], INDEX(Common[DayCount Basis],1))</f>
        <v>8.7561643835616429</v>
      </c>
      <c r="D40">
        <f>INDEX(Summary_IRS[Market Rate],1) * 0.25</f>
        <v>7.0062500000000003E-3</v>
      </c>
      <c r="E40">
        <f>LogLinearDF_Date(CalcTable_IRS[[#This Row],[Payment Date]], INDEX(Common[Today],1), MarketTable[Jump Date], MarketTable[Solved Forward], INDEX(Common[DayCount Basis],1))</f>
        <v>1</v>
      </c>
      <c r="F40">
        <f>CalcTable_IRS[[#This Row],[Expected CashFlow]] * CalcTable_IRS[[#This Row],[DF]]</f>
        <v>7.0062500000000003E-3</v>
      </c>
    </row>
    <row r="41" spans="1:6" x14ac:dyDescent="0.3">
      <c r="A41">
        <v>36</v>
      </c>
      <c r="B41" s="1">
        <v>49318</v>
      </c>
      <c r="C41">
        <f>CalcYF(INDEX(Common[Today],1), CalcTable_IRS[[#This Row],[Payment Date]], INDEX(Common[DayCount Basis],1))</f>
        <v>9.0082191780821912</v>
      </c>
      <c r="D41">
        <f>INDEX(Summary_IRS[Market Rate],1) * 0.25</f>
        <v>7.0062500000000003E-3</v>
      </c>
      <c r="E41">
        <f>LogLinearDF_Date(CalcTable_IRS[[#This Row],[Payment Date]], INDEX(Common[Today],1), MarketTable[Jump Date], MarketTable[Solved Forward], INDEX(Common[DayCount Basis],1))</f>
        <v>1</v>
      </c>
      <c r="F41">
        <f>CalcTable_IRS[[#This Row],[Expected CashFlow]] * CalcTable_IRS[[#This Row],[DF]]</f>
        <v>7.0062500000000003E-3</v>
      </c>
    </row>
    <row r="42" spans="1:6" x14ac:dyDescent="0.3">
      <c r="A42">
        <v>37</v>
      </c>
      <c r="B42" s="1">
        <v>49408</v>
      </c>
      <c r="C42">
        <f>CalcYF(INDEX(Common[Today],1), CalcTable_IRS[[#This Row],[Payment Date]], INDEX(Common[DayCount Basis],1))</f>
        <v>9.2547945205479447</v>
      </c>
      <c r="D42">
        <f>INDEX(Summary_IRS[Market Rate],1) * 0.25</f>
        <v>7.0062500000000003E-3</v>
      </c>
      <c r="E42">
        <f>LogLinearDF_Date(CalcTable_IRS[[#This Row],[Payment Date]], INDEX(Common[Today],1), MarketTable[Jump Date], MarketTable[Solved Forward], INDEX(Common[DayCount Basis],1))</f>
        <v>1</v>
      </c>
      <c r="F42">
        <f>CalcTable_IRS[[#This Row],[Expected CashFlow]] * CalcTable_IRS[[#This Row],[DF]]</f>
        <v>7.0062500000000003E-3</v>
      </c>
    </row>
    <row r="43" spans="1:6" x14ac:dyDescent="0.3">
      <c r="A43">
        <v>38</v>
      </c>
      <c r="B43" s="1">
        <v>49499</v>
      </c>
      <c r="C43">
        <f>CalcYF(INDEX(Common[Today],1), CalcTable_IRS[[#This Row],[Payment Date]], INDEX(Common[DayCount Basis],1))</f>
        <v>9.5041095890410965</v>
      </c>
      <c r="D43">
        <f>INDEX(Summary_IRS[Market Rate],1) * 0.25</f>
        <v>7.0062500000000003E-3</v>
      </c>
      <c r="E43">
        <f>LogLinearDF_Date(CalcTable_IRS[[#This Row],[Payment Date]], INDEX(Common[Today],1), MarketTable[Jump Date], MarketTable[Solved Forward], INDEX(Common[DayCount Basis],1))</f>
        <v>1</v>
      </c>
      <c r="F43">
        <f>CalcTable_IRS[[#This Row],[Expected CashFlow]] * CalcTable_IRS[[#This Row],[DF]]</f>
        <v>7.0062500000000003E-3</v>
      </c>
    </row>
    <row r="44" spans="1:6" x14ac:dyDescent="0.3">
      <c r="A44">
        <v>39</v>
      </c>
      <c r="B44" s="1">
        <v>49591</v>
      </c>
      <c r="C44">
        <f>CalcYF(INDEX(Common[Today],1), CalcTable_IRS[[#This Row],[Payment Date]], INDEX(Common[DayCount Basis],1))</f>
        <v>9.7561643835616429</v>
      </c>
      <c r="D44">
        <f>INDEX(Summary_IRS[Market Rate],1) * 0.25</f>
        <v>7.0062500000000003E-3</v>
      </c>
      <c r="E44">
        <f>LogLinearDF_Date(CalcTable_IRS[[#This Row],[Payment Date]], INDEX(Common[Today],1), MarketTable[Jump Date], MarketTable[Solved Forward], INDEX(Common[DayCount Basis],1))</f>
        <v>1</v>
      </c>
      <c r="F44">
        <f>CalcTable_IRS[[#This Row],[Expected CashFlow]] * CalcTable_IRS[[#This Row],[DF]]</f>
        <v>7.0062500000000003E-3</v>
      </c>
    </row>
    <row r="45" spans="1:6" x14ac:dyDescent="0.3">
      <c r="A45">
        <v>40</v>
      </c>
      <c r="B45" s="1">
        <v>49683</v>
      </c>
      <c r="C45">
        <f>CalcYF(INDEX(Common[Today],1), CalcTable_IRS[[#This Row],[Payment Date]], INDEX(Common[DayCount Basis],1))</f>
        <v>10.008219178082191</v>
      </c>
      <c r="D45">
        <f>INDEX(Summary_IRS[Market Rate],1) * 0.25</f>
        <v>7.0062500000000003E-3</v>
      </c>
      <c r="E45">
        <f>LogLinearDF_Date(CalcTable_IRS[[#This Row],[Payment Date]], INDEX(Common[Today],1), MarketTable[Jump Date], MarketTable[Solved Forward], INDEX(Common[DayCount Basis],1))</f>
        <v>1</v>
      </c>
      <c r="F45">
        <f>CalcTable_IRS[[#This Row],[Expected CashFlow]] * CalcTable_IRS[[#This Row],[DF]]</f>
        <v>7.0062500000000003E-3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3F2B0-8186-420D-9453-9A7F40494726}">
  <sheetPr codeName="Sheet4"/>
  <dimension ref="A1:B16"/>
  <sheetViews>
    <sheetView workbookViewId="0"/>
  </sheetViews>
  <sheetFormatPr defaultRowHeight="16.5" x14ac:dyDescent="0.3"/>
  <cols>
    <col min="1" max="1" width="49" bestFit="1" customWidth="1"/>
    <col min="2" max="2" width="16.625" bestFit="1" customWidth="1"/>
  </cols>
  <sheetData>
    <row r="1" spans="1:2" x14ac:dyDescent="0.3">
      <c r="A1" t="s">
        <v>31</v>
      </c>
      <c r="B1" s="3">
        <v>46031.473113425927</v>
      </c>
    </row>
    <row r="3" spans="1:2" x14ac:dyDescent="0.3">
      <c r="A3" t="s">
        <v>32</v>
      </c>
    </row>
    <row r="5" spans="1:2" x14ac:dyDescent="0.3">
      <c r="A5" t="s">
        <v>33</v>
      </c>
    </row>
    <row r="6" spans="1:2" x14ac:dyDescent="0.3">
      <c r="A6" t="s">
        <v>34</v>
      </c>
    </row>
    <row r="7" spans="1:2" x14ac:dyDescent="0.3">
      <c r="A7" t="s">
        <v>35</v>
      </c>
    </row>
    <row r="8" spans="1:2" x14ac:dyDescent="0.3">
      <c r="A8" t="s">
        <v>36</v>
      </c>
    </row>
    <row r="10" spans="1:2" x14ac:dyDescent="0.3">
      <c r="A10" t="s">
        <v>37</v>
      </c>
    </row>
    <row r="11" spans="1:2" x14ac:dyDescent="0.3">
      <c r="A11" t="s">
        <v>38</v>
      </c>
    </row>
    <row r="13" spans="1:2" x14ac:dyDescent="0.3">
      <c r="A13" t="s">
        <v>39</v>
      </c>
    </row>
    <row r="14" spans="1:2" x14ac:dyDescent="0.3">
      <c r="A14" t="s">
        <v>40</v>
      </c>
    </row>
    <row r="15" spans="1:2" x14ac:dyDescent="0.3">
      <c r="A15" t="s">
        <v>41</v>
      </c>
    </row>
    <row r="16" spans="1:2" x14ac:dyDescent="0.3">
      <c r="A16" t="s">
        <v>42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Validation_Deposit</vt:lpstr>
      <vt:lpstr>Validation_IRS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2026-01-09T02:21:16Z</dcterms:created>
  <dcterms:modified xsi:type="dcterms:W3CDTF">2026-01-09T02:34:56Z</dcterms:modified>
</cp:coreProperties>
</file>