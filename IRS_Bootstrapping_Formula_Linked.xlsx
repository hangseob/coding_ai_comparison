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y\coding_ai_comparison\"/>
    </mc:Choice>
  </mc:AlternateContent>
  <xr:revisionPtr revIDLastSave="0" documentId="8_{4A9CB27D-7DC4-444A-B730-CABF07281091}" xr6:coauthVersionLast="47" xr6:coauthVersionMax="47" xr10:uidLastSave="{00000000-0000-0000-0000-000000000000}"/>
  <bookViews>
    <workbookView xWindow="2295" yWindow="2295" windowWidth="21600" windowHeight="11295" activeTab="1" xr2:uid="{1012210E-47F2-4009-9F84-2BE65ED6C4FE}"/>
  </bookViews>
  <sheets>
    <sheet name="요약_및_계산로직" sheetId="1" r:id="rId1"/>
    <sheet name="상세_캐쉬플로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2" l="1"/>
  <c r="E34" i="2"/>
  <c r="E33" i="2"/>
  <c r="D33" i="2"/>
  <c r="E32" i="2"/>
  <c r="D32" i="2"/>
  <c r="E31" i="2"/>
  <c r="D31" i="2"/>
  <c r="E30" i="2"/>
  <c r="D30" i="2"/>
  <c r="E26" i="2"/>
  <c r="E25" i="2"/>
  <c r="E24" i="2"/>
  <c r="D24" i="2"/>
  <c r="E23" i="2"/>
  <c r="D23" i="2"/>
  <c r="E22" i="2"/>
  <c r="D22" i="2"/>
  <c r="E18" i="2"/>
  <c r="E17" i="2"/>
  <c r="E16" i="2"/>
  <c r="D16" i="2"/>
  <c r="E15" i="2"/>
  <c r="D15" i="2"/>
  <c r="E11" i="2"/>
  <c r="E10" i="2"/>
  <c r="D10" i="2"/>
  <c r="E6" i="2"/>
  <c r="E5" i="2"/>
  <c r="D5" i="2"/>
</calcChain>
</file>

<file path=xl/sharedStrings.xml><?xml version="1.0" encoding="utf-8"?>
<sst xmlns="http://schemas.openxmlformats.org/spreadsheetml/2006/main" count="52" uniqueCount="27">
  <si>
    <t>KRW IRS Bootstrapping 상세 리포트</t>
  </si>
  <si>
    <t>1. 시장 데이터 및 선도금리 결과</t>
  </si>
  <si>
    <t>인스트루먼트</t>
  </si>
  <si>
    <t>만기(년)</t>
  </si>
  <si>
    <t>시장금리</t>
  </si>
  <si>
    <t>Knot(개월)</t>
  </si>
  <si>
    <t>Knot(년)</t>
  </si>
  <si>
    <t>Solved Forward</t>
  </si>
  <si>
    <t>1D Call</t>
  </si>
  <si>
    <t>3M Depo</t>
  </si>
  <si>
    <t>6M IRS</t>
  </si>
  <si>
    <t>9M IRS</t>
  </si>
  <si>
    <t>1Y IRS</t>
  </si>
  <si>
    <t>모든 인스트루먼트 상세 캐쉬플로우 (수식 연동 버전)</t>
  </si>
  <si>
    <t>[1D Call] 상세 내역</t>
  </si>
  <si>
    <t>No</t>
  </si>
  <si>
    <t>현금흐름일(년)</t>
  </si>
  <si>
    <t>현금흐름액</t>
  </si>
  <si>
    <t>할인계수(DF)</t>
  </si>
  <si>
    <t>할인현금흐름(DCF)</t>
  </si>
  <si>
    <t>Total PV (Should be ~1):</t>
  </si>
  <si>
    <t>[3M Depo] 상세 내역</t>
  </si>
  <si>
    <t>[6M IRS] 상세 내역</t>
  </si>
  <si>
    <t>Fixed Leg PV (Sum):</t>
  </si>
  <si>
    <t>Floating Leg PV (1-DF_end):</t>
  </si>
  <si>
    <t>[9M IRS] 상세 내역</t>
  </si>
  <si>
    <t>[1Y IRS] 상세 내역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</si>
</sst>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C42C-B81F-4DC3-B487-94F1F8A292C6}">
  <dimension ref="A1:F9"/>
  <sheetViews>
    <sheetView workbookViewId="0"/>
  </sheetViews>
  <sheetFormatPr defaultRowHeight="16.5" x14ac:dyDescent="0.3"/>
  <cols>
    <col min="1" max="1" width="45.75" bestFit="1" customWidth="1"/>
    <col min="2" max="2" width="12.75" bestFit="1" customWidth="1"/>
    <col min="4" max="4" width="10.5" bestFit="1" customWidth="1"/>
    <col min="5" max="5" width="12.75" bestFit="1" customWidth="1"/>
    <col min="6" max="6" width="15" bestFit="1" customWidth="1"/>
  </cols>
  <sheetData>
    <row r="1" spans="1:6" ht="20.25" x14ac:dyDescent="0.3">
      <c r="A1" s="2" t="s">
        <v>0</v>
      </c>
    </row>
    <row r="3" spans="1:6" x14ac:dyDescent="0.3">
      <c r="A3" t="s">
        <v>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t="s">
        <v>8</v>
      </c>
      <c r="B5">
        <v>2.7397260273972603E-3</v>
      </c>
      <c r="C5">
        <v>3.5000000000000003E-2</v>
      </c>
      <c r="D5">
        <v>2</v>
      </c>
      <c r="E5">
        <v>0.16666666666666666</v>
      </c>
      <c r="F5">
        <v>3.4998322025072276E-2</v>
      </c>
    </row>
    <row r="6" spans="1:6" x14ac:dyDescent="0.3">
      <c r="A6" t="s">
        <v>9</v>
      </c>
      <c r="B6">
        <v>0.25</v>
      </c>
      <c r="C6">
        <v>3.5999999999999997E-2</v>
      </c>
      <c r="D6">
        <v>5</v>
      </c>
      <c r="E6">
        <v>0.41666666666666669</v>
      </c>
      <c r="F6">
        <v>3.7520252407516802E-2</v>
      </c>
    </row>
    <row r="7" spans="1:6" x14ac:dyDescent="0.3">
      <c r="A7" t="s">
        <v>10</v>
      </c>
      <c r="B7">
        <v>0.5</v>
      </c>
      <c r="C7">
        <v>3.6999999999999998E-2</v>
      </c>
      <c r="D7">
        <v>7</v>
      </c>
      <c r="E7">
        <v>0.58333333333333337</v>
      </c>
      <c r="F7">
        <v>3.8449639258437071E-2</v>
      </c>
    </row>
    <row r="8" spans="1:6" x14ac:dyDescent="0.3">
      <c r="A8" t="s">
        <v>11</v>
      </c>
      <c r="B8">
        <v>0.75</v>
      </c>
      <c r="C8">
        <v>3.7999999999999999E-2</v>
      </c>
      <c r="D8">
        <v>10</v>
      </c>
      <c r="E8">
        <v>0.83333333333333337</v>
      </c>
      <c r="F8">
        <v>4.0521143956091403E-2</v>
      </c>
    </row>
    <row r="9" spans="1:6" x14ac:dyDescent="0.3">
      <c r="A9" t="s">
        <v>12</v>
      </c>
      <c r="B9">
        <v>1</v>
      </c>
      <c r="C9">
        <v>3.9E-2</v>
      </c>
      <c r="D9">
        <v>13</v>
      </c>
      <c r="E9">
        <v>1.0833333333333333</v>
      </c>
      <c r="F9">
        <v>4.2502221051720405E-2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CD51-FE63-48C8-81B2-12FC10C36211}">
  <dimension ref="A1:E35"/>
  <sheetViews>
    <sheetView tabSelected="1" workbookViewId="0"/>
  </sheetViews>
  <sheetFormatPr defaultRowHeight="16.5" x14ac:dyDescent="0.3"/>
  <cols>
    <col min="1" max="1" width="63.875" bestFit="1" customWidth="1"/>
    <col min="2" max="2" width="14.375" bestFit="1" customWidth="1"/>
    <col min="3" max="3" width="11.625" bestFit="1" customWidth="1"/>
    <col min="4" max="4" width="26.875" bestFit="1" customWidth="1"/>
    <col min="5" max="5" width="18.375" bestFit="1" customWidth="1"/>
  </cols>
  <sheetData>
    <row r="1" spans="1:5" ht="20.25" x14ac:dyDescent="0.3">
      <c r="A1" s="2" t="s">
        <v>13</v>
      </c>
    </row>
    <row r="3" spans="1:5" x14ac:dyDescent="0.3">
      <c r="A3" s="1" t="s">
        <v>14</v>
      </c>
    </row>
    <row r="4" spans="1:5" x14ac:dyDescent="0.3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spans="1:5" x14ac:dyDescent="0.3">
      <c r="A5">
        <v>1</v>
      </c>
      <c r="B5">
        <v>2.7397260273972603E-3</v>
      </c>
      <c r="C5">
        <v>1.0000958904109589</v>
      </c>
      <c r="D5">
        <f>EXP(-(MIN($B5, 요약_및_계산로직!$E$5)*요약_및_계산로직!$F$5 + MAX(0, MIN($B5, 요약_및_계산로직!$E$6)-요약_및_계산로직!$E$5)*요약_및_계산로직!$F$6 + MAX(0, MIN($B5, 요약_및_계산로직!$E$7)-요약_및_계산로직!$E$6)*요약_및_계산로직!$F$7 + MAX(0, MIN($B5, 요약_및_계산로직!$E$8)-요약_및_계산로직!$E$7)*요약_및_계산로직!$F$8 + MAX(0, MIN($B5, 요약_및_계산로직!$E$9)-요약_및_계산로직!$E$8)*요약_및_계산로직!$F$9))</f>
        <v>0.99990411878313035</v>
      </c>
      <c r="E5">
        <f>C5*D5</f>
        <v>1</v>
      </c>
    </row>
    <row r="6" spans="1:5" x14ac:dyDescent="0.3">
      <c r="D6" t="s">
        <v>20</v>
      </c>
      <c r="E6">
        <f>E5</f>
        <v>1</v>
      </c>
    </row>
    <row r="8" spans="1:5" x14ac:dyDescent="0.3">
      <c r="A8" s="1" t="s">
        <v>21</v>
      </c>
    </row>
    <row r="9" spans="1:5" x14ac:dyDescent="0.3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</row>
    <row r="10" spans="1:5" x14ac:dyDescent="0.3">
      <c r="A10">
        <v>1</v>
      </c>
      <c r="B10">
        <v>0.25</v>
      </c>
      <c r="C10">
        <v>1.0089999999999999</v>
      </c>
      <c r="D10">
        <f>EXP(-(MIN($B10, 요약_및_계산로직!$E$5)*요약_및_계산로직!$F$5 + MAX(0, MIN($B10, 요약_및_계산로직!$E$6)-요약_및_계산로직!$E$5)*요약_및_계산로직!$F$6 + MAX(0, MIN($B10, 요약_및_계산로직!$E$7)-요약_및_계산로직!$E$6)*요약_및_계산로직!$F$7 + MAX(0, MIN($B10, 요약_및_계산로직!$E$8)-요약_및_계산로직!$E$7)*요약_및_계산로직!$F$8 + MAX(0, MIN($B10, 요약_및_계산로직!$E$9)-요약_및_계산로직!$E$8)*요약_및_계산로직!$F$9))</f>
        <v>0.99108027750247785</v>
      </c>
      <c r="E10">
        <f>C10*D10</f>
        <v>1</v>
      </c>
    </row>
    <row r="11" spans="1:5" x14ac:dyDescent="0.3">
      <c r="D11" t="s">
        <v>20</v>
      </c>
      <c r="E11">
        <f>E10</f>
        <v>1</v>
      </c>
    </row>
    <row r="13" spans="1:5" x14ac:dyDescent="0.3">
      <c r="A13" s="1" t="s">
        <v>22</v>
      </c>
    </row>
    <row r="14" spans="1:5" x14ac:dyDescent="0.3">
      <c r="A14" s="4" t="s">
        <v>15</v>
      </c>
      <c r="B14" s="4" t="s">
        <v>16</v>
      </c>
      <c r="C14" s="4" t="s">
        <v>17</v>
      </c>
      <c r="D14" s="4" t="s">
        <v>18</v>
      </c>
      <c r="E14" s="4" t="s">
        <v>19</v>
      </c>
    </row>
    <row r="15" spans="1:5" x14ac:dyDescent="0.3">
      <c r="A15">
        <v>1</v>
      </c>
      <c r="B15">
        <v>0.25</v>
      </c>
      <c r="C15">
        <v>9.2499999999999995E-3</v>
      </c>
      <c r="D15">
        <f>EXP(-(MIN($B15, 요약_및_계산로직!$E$5)*요약_및_계산로직!$F$5 + MAX(0, MIN($B15, 요약_및_계산로직!$E$6)-요약_및_계산로직!$E$5)*요약_및_계산로직!$F$6 + MAX(0, MIN($B15, 요약_및_계산로직!$E$7)-요약_및_계산로직!$E$6)*요약_및_계산로직!$F$7 + MAX(0, MIN($B15, 요약_및_계산로직!$E$8)-요약_및_계산로직!$E$7)*요약_및_계산로직!$F$8 + MAX(0, MIN($B15, 요약_및_계산로직!$E$9)-요약_및_계산로직!$E$8)*요약_및_계산로직!$F$9))</f>
        <v>0.99108027750247785</v>
      </c>
      <c r="E15">
        <f>C15*D15</f>
        <v>9.1674925668979203E-3</v>
      </c>
    </row>
    <row r="16" spans="1:5" x14ac:dyDescent="0.3">
      <c r="A16">
        <v>2</v>
      </c>
      <c r="B16">
        <v>0.5</v>
      </c>
      <c r="C16">
        <v>9.2499999999999995E-3</v>
      </c>
      <c r="D16">
        <f>EXP(-(MIN($B16, 요약_및_계산로직!$E$5)*요약_및_계산로직!$F$5 + MAX(0, MIN($B16, 요약_및_계산로직!$E$6)-요약_및_계산로직!$E$5)*요약_및_계산로직!$F$6 + MAX(0, MIN($B16, 요약_및_계산로직!$E$7)-요약_및_계산로직!$E$6)*요약_및_계산로직!$F$7 + MAX(0, MIN($B16, 요약_및_계산로직!$E$8)-요약_및_계산로직!$E$7)*요약_및_계산로직!$F$8 + MAX(0, MIN($B16, 요약_및_계산로직!$E$9)-요약_및_계산로직!$E$8)*요약_및_계산로직!$F$9))</f>
        <v>0.98175130783562259</v>
      </c>
      <c r="E16">
        <f>C16*D16</f>
        <v>9.0811995974795084E-3</v>
      </c>
    </row>
    <row r="17" spans="1:5" x14ac:dyDescent="0.3">
      <c r="D17" t="s">
        <v>23</v>
      </c>
      <c r="E17">
        <f>SUM(E15:E15)</f>
        <v>9.1674925668979203E-3</v>
      </c>
    </row>
    <row r="18" spans="1:5" x14ac:dyDescent="0.3">
      <c r="D18" t="s">
        <v>24</v>
      </c>
      <c r="E18">
        <f>1-D15</f>
        <v>8.9197224975221534E-3</v>
      </c>
    </row>
    <row r="20" spans="1:5" x14ac:dyDescent="0.3">
      <c r="A20" s="1" t="s">
        <v>25</v>
      </c>
    </row>
    <row r="21" spans="1:5" x14ac:dyDescent="0.3">
      <c r="A21" s="4" t="s">
        <v>15</v>
      </c>
      <c r="B21" s="4" t="s">
        <v>16</v>
      </c>
      <c r="C21" s="4" t="s">
        <v>17</v>
      </c>
      <c r="D21" s="4" t="s">
        <v>18</v>
      </c>
      <c r="E21" s="4" t="s">
        <v>19</v>
      </c>
    </row>
    <row r="22" spans="1:5" x14ac:dyDescent="0.3">
      <c r="A22">
        <v>1</v>
      </c>
      <c r="B22">
        <v>0.25</v>
      </c>
      <c r="C22">
        <v>9.4999999999999998E-3</v>
      </c>
      <c r="D22">
        <f>EXP(-(MIN($B22, 요약_및_계산로직!$E$5)*요약_및_계산로직!$F$5 + MAX(0, MIN($B22, 요약_및_계산로직!$E$6)-요약_및_계산로직!$E$5)*요약_및_계산로직!$F$6 + MAX(0, MIN($B22, 요약_및_계산로직!$E$7)-요약_및_계산로직!$E$6)*요약_및_계산로직!$F$7 + MAX(0, MIN($B22, 요약_및_계산로직!$E$8)-요약_및_계산로직!$E$7)*요약_및_계산로직!$F$8 + MAX(0, MIN($B22, 요약_및_계산로직!$E$9)-요약_및_계산로직!$E$8)*요약_및_계산로직!$F$9))</f>
        <v>0.99108027750247785</v>
      </c>
      <c r="E22">
        <f>C22*D22</f>
        <v>9.4152626362735397E-3</v>
      </c>
    </row>
    <row r="23" spans="1:5" x14ac:dyDescent="0.3">
      <c r="A23">
        <v>2</v>
      </c>
      <c r="B23">
        <v>0.5</v>
      </c>
      <c r="C23">
        <v>9.4999999999999998E-3</v>
      </c>
      <c r="D23">
        <f>EXP(-(MIN($B23, 요약_및_계산로직!$E$5)*요약_및_계산로직!$F$5 + MAX(0, MIN($B23, 요약_및_계산로직!$E$6)-요약_및_계산로직!$E$5)*요약_및_계산로직!$F$6 + MAX(0, MIN($B23, 요약_및_계산로직!$E$7)-요약_및_계산로직!$E$6)*요약_및_계산로직!$F$7 + MAX(0, MIN($B23, 요약_및_계산로직!$E$8)-요약_및_계산로직!$E$7)*요약_및_계산로직!$F$8 + MAX(0, MIN($B23, 요약_및_계산로직!$E$9)-요약_및_계산로직!$E$8)*요약_및_계산로직!$F$9))</f>
        <v>0.98175130783562259</v>
      </c>
      <c r="E23">
        <f>C23*D23</f>
        <v>9.3266374244384137E-3</v>
      </c>
    </row>
    <row r="24" spans="1:5" x14ac:dyDescent="0.3">
      <c r="A24">
        <v>3</v>
      </c>
      <c r="B24">
        <v>0.75</v>
      </c>
      <c r="C24">
        <v>9.4999999999999998E-3</v>
      </c>
      <c r="D24">
        <f>EXP(-(MIN($B24, 요약_및_계산로직!$E$5)*요약_및_계산로직!$F$5 + MAX(0, MIN($B24, 요약_및_계산로직!$E$6)-요약_및_계산로직!$E$5)*요약_및_계산로직!$F$6 + MAX(0, MIN($B24, 요약_및_계산로직!$E$7)-요약_및_계산로직!$E$6)*요약_및_계산로직!$F$7 + MAX(0, MIN($B24, 요약_및_계산로직!$E$8)-요약_및_계산로직!$E$7)*요약_및_계산로직!$F$8 + MAX(0, MIN($B24, 요약_및_계산로직!$E$9)-요약_및_계산로직!$E$8)*요약_및_계산로직!$F$9))</f>
        <v>0.97202387314441607</v>
      </c>
      <c r="E24">
        <f>C24*D24</f>
        <v>9.2342267948719529E-3</v>
      </c>
    </row>
    <row r="25" spans="1:5" x14ac:dyDescent="0.3">
      <c r="D25" t="s">
        <v>23</v>
      </c>
      <c r="E25">
        <f>SUM(E22:E23)</f>
        <v>1.8741900060711955E-2</v>
      </c>
    </row>
    <row r="26" spans="1:5" x14ac:dyDescent="0.3">
      <c r="D26" t="s">
        <v>24</v>
      </c>
      <c r="E26">
        <f>1-D23</f>
        <v>1.8248692164377411E-2</v>
      </c>
    </row>
    <row r="28" spans="1:5" x14ac:dyDescent="0.3">
      <c r="A28" s="1" t="s">
        <v>26</v>
      </c>
    </row>
    <row r="29" spans="1:5" x14ac:dyDescent="0.3">
      <c r="A29" s="4" t="s">
        <v>15</v>
      </c>
      <c r="B29" s="4" t="s">
        <v>16</v>
      </c>
      <c r="C29" s="4" t="s">
        <v>17</v>
      </c>
      <c r="D29" s="4" t="s">
        <v>18</v>
      </c>
      <c r="E29" s="4" t="s">
        <v>19</v>
      </c>
    </row>
    <row r="30" spans="1:5" x14ac:dyDescent="0.3">
      <c r="A30">
        <v>1</v>
      </c>
      <c r="B30">
        <v>0.25</v>
      </c>
      <c r="C30">
        <v>9.75E-3</v>
      </c>
      <c r="D30">
        <f>EXP(-(MIN($B30, 요약_및_계산로직!$E$5)*요약_및_계산로직!$F$5 + MAX(0, MIN($B30, 요약_및_계산로직!$E$6)-요약_및_계산로직!$E$5)*요약_및_계산로직!$F$6 + MAX(0, MIN($B30, 요약_및_계산로직!$E$7)-요약_및_계산로직!$E$6)*요약_및_계산로직!$F$7 + MAX(0, MIN($B30, 요약_및_계산로직!$E$8)-요약_및_계산로직!$E$7)*요약_및_계산로직!$F$8 + MAX(0, MIN($B30, 요약_및_계산로직!$E$9)-요약_및_계산로직!$E$8)*요약_및_계산로직!$F$9))</f>
        <v>0.99108027750247785</v>
      </c>
      <c r="E30">
        <f>C30*D30</f>
        <v>9.6630327056491591E-3</v>
      </c>
    </row>
    <row r="31" spans="1:5" x14ac:dyDescent="0.3">
      <c r="A31">
        <v>2</v>
      </c>
      <c r="B31">
        <v>0.5</v>
      </c>
      <c r="C31">
        <v>9.75E-3</v>
      </c>
      <c r="D31">
        <f>EXP(-(MIN($B31, 요약_및_계산로직!$E$5)*요약_및_계산로직!$F$5 + MAX(0, MIN($B31, 요약_및_계산로직!$E$6)-요약_및_계산로직!$E$5)*요약_및_계산로직!$F$6 + MAX(0, MIN($B31, 요약_및_계산로직!$E$7)-요약_및_계산로직!$E$6)*요약_및_계산로직!$F$7 + MAX(0, MIN($B31, 요약_및_계산로직!$E$8)-요약_및_계산로직!$E$7)*요약_및_계산로직!$F$8 + MAX(0, MIN($B31, 요약_및_계산로직!$E$9)-요약_및_계산로직!$E$8)*요약_및_계산로직!$F$9))</f>
        <v>0.98175130783562259</v>
      </c>
      <c r="E31">
        <f>C31*D31</f>
        <v>9.5720752513973207E-3</v>
      </c>
    </row>
    <row r="32" spans="1:5" x14ac:dyDescent="0.3">
      <c r="A32">
        <v>3</v>
      </c>
      <c r="B32">
        <v>0.75</v>
      </c>
      <c r="C32">
        <v>9.75E-3</v>
      </c>
      <c r="D32">
        <f>EXP(-(MIN($B32, 요약_및_계산로직!$E$5)*요약_및_계산로직!$F$5 + MAX(0, MIN($B32, 요약_및_계산로직!$E$6)-요약_및_계산로직!$E$5)*요약_및_계산로직!$F$6 + MAX(0, MIN($B32, 요약_및_계산로직!$E$7)-요약_및_계산로직!$E$6)*요약_및_계산로직!$F$7 + MAX(0, MIN($B32, 요약_및_계산로직!$E$8)-요약_및_계산로직!$E$7)*요약_및_계산로직!$F$8 + MAX(0, MIN($B32, 요약_및_계산로직!$E$9)-요약_및_계산로직!$E$8)*요약_및_계산로직!$F$9))</f>
        <v>0.97202387314441607</v>
      </c>
      <c r="E32">
        <f>C32*D32</f>
        <v>9.4772327631580562E-3</v>
      </c>
    </row>
    <row r="33" spans="1:5" x14ac:dyDescent="0.3">
      <c r="A33">
        <v>4</v>
      </c>
      <c r="B33">
        <v>1</v>
      </c>
      <c r="C33">
        <v>9.75E-3</v>
      </c>
      <c r="D33">
        <f>EXP(-(MIN($B33, 요약_및_계산로직!$E$5)*요약_및_계산로직!$F$5 + MAX(0, MIN($B33, 요약_및_계산로직!$E$6)-요약_및_계산로직!$E$5)*요약_및_계산로직!$F$6 + MAX(0, MIN($B33, 요약_및_계산로직!$E$7)-요약_및_계산로직!$E$6)*요약_및_계산로직!$F$7 + MAX(0, MIN($B33, 요약_및_계산로직!$E$8)-요약_및_계산로직!$E$7)*요약_및_계산로직!$F$8 + MAX(0, MIN($B33, 요약_및_계산로직!$E$9)-요약_및_계산로직!$E$8)*요약_및_계산로직!$F$9))</f>
        <v>0.96190904608051053</v>
      </c>
      <c r="E33">
        <f>C33*D33</f>
        <v>9.3786131992849783E-3</v>
      </c>
    </row>
    <row r="34" spans="1:5" x14ac:dyDescent="0.3">
      <c r="D34" t="s">
        <v>23</v>
      </c>
      <c r="E34">
        <f>SUM(E30:E32)</f>
        <v>2.8712340720204534E-2</v>
      </c>
    </row>
    <row r="35" spans="1:5" x14ac:dyDescent="0.3">
      <c r="D35" t="s">
        <v>24</v>
      </c>
      <c r="E35">
        <f>1-D32</f>
        <v>2.7976126855583927E-2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요약_및_계산로직</vt:lpstr>
      <vt:lpstr>상세_캐쉬플로우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2026-01-08T12:14:02Z</dcterms:created>
  <dcterms:modified xsi:type="dcterms:W3CDTF">2026-01-08T12:14:03Z</dcterms:modified>
</cp:coreProperties>
</file>