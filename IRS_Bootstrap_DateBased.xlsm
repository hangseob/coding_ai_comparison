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13_ncr:1_{96ACC674-621B-4C6E-A147-4B29EB45F439}" xr6:coauthVersionLast="36" xr6:coauthVersionMax="36" xr10:uidLastSave="{00000000-0000-0000-0000-000000000000}"/>
  <bookViews>
    <workbookView xWindow="0" yWindow="0" windowWidth="28800" windowHeight="10860" xr2:uid="{D573B933-74FC-402E-B23E-31EE2C350905}"/>
  </bookViews>
  <sheets>
    <sheet name="Main" sheetId="1" r:id="rId1"/>
    <sheet name="Validation_Deposit" sheetId="2" r:id="rId2"/>
    <sheet name="Validation_IRS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D45" i="3" s="1"/>
  <c r="D2" i="3"/>
  <c r="C2" i="3"/>
  <c r="A2" i="3"/>
  <c r="E2" i="2"/>
  <c r="D2" i="2"/>
  <c r="C2" i="2"/>
  <c r="A2" i="2"/>
  <c r="F12" i="1"/>
  <c r="F11" i="1"/>
  <c r="F10" i="1"/>
  <c r="F9" i="1"/>
  <c r="F8" i="1"/>
  <c r="F7" i="1"/>
  <c r="F6" i="1"/>
  <c r="E45" i="3"/>
  <c r="C45" i="3"/>
  <c r="E44" i="3"/>
  <c r="C44" i="3"/>
  <c r="E43" i="3"/>
  <c r="C43" i="3"/>
  <c r="E42" i="3"/>
  <c r="C42" i="3"/>
  <c r="E41" i="3"/>
  <c r="C41" i="3"/>
  <c r="E40" i="3"/>
  <c r="C40" i="3"/>
  <c r="E39" i="3"/>
  <c r="C39" i="3"/>
  <c r="E38" i="3"/>
  <c r="C38" i="3"/>
  <c r="E37" i="3"/>
  <c r="C37" i="3"/>
  <c r="E36" i="3"/>
  <c r="C36" i="3"/>
  <c r="E35" i="3"/>
  <c r="C35" i="3"/>
  <c r="E34" i="3"/>
  <c r="C34" i="3"/>
  <c r="E33" i="3"/>
  <c r="C33" i="3"/>
  <c r="E32" i="3"/>
  <c r="C32" i="3"/>
  <c r="E31" i="3"/>
  <c r="C31" i="3"/>
  <c r="E30" i="3"/>
  <c r="C30" i="3"/>
  <c r="E29" i="3"/>
  <c r="C29" i="3"/>
  <c r="E28" i="3"/>
  <c r="C28" i="3"/>
  <c r="E27" i="3"/>
  <c r="C27" i="3"/>
  <c r="E26" i="3"/>
  <c r="C26" i="3"/>
  <c r="E25" i="3"/>
  <c r="C25" i="3"/>
  <c r="E24" i="3"/>
  <c r="C24" i="3"/>
  <c r="E23" i="3"/>
  <c r="C23" i="3"/>
  <c r="E22" i="3"/>
  <c r="C22" i="3"/>
  <c r="E21" i="3"/>
  <c r="C21" i="3"/>
  <c r="E20" i="3"/>
  <c r="C20" i="3"/>
  <c r="E19" i="3"/>
  <c r="C19" i="3"/>
  <c r="E18" i="3"/>
  <c r="C18" i="3"/>
  <c r="E17" i="3"/>
  <c r="C17" i="3"/>
  <c r="E16" i="3"/>
  <c r="C16" i="3"/>
  <c r="E15" i="3"/>
  <c r="C15" i="3"/>
  <c r="E14" i="3"/>
  <c r="C14" i="3"/>
  <c r="E13" i="3"/>
  <c r="C13" i="3"/>
  <c r="E12" i="3"/>
  <c r="C12" i="3"/>
  <c r="E11" i="3"/>
  <c r="C11" i="3"/>
  <c r="E10" i="3"/>
  <c r="C10" i="3"/>
  <c r="E9" i="3"/>
  <c r="C9" i="3"/>
  <c r="E8" i="3"/>
  <c r="C8" i="3"/>
  <c r="E7" i="3"/>
  <c r="C7" i="3"/>
  <c r="E6" i="3"/>
  <c r="C6" i="3"/>
  <c r="G2" i="3"/>
  <c r="F2" i="2"/>
  <c r="K12" i="1"/>
  <c r="J12" i="1"/>
  <c r="G12" i="1"/>
  <c r="E12" i="1"/>
  <c r="D12" i="1"/>
  <c r="K11" i="1"/>
  <c r="J11" i="1"/>
  <c r="G11" i="1"/>
  <c r="E11" i="1"/>
  <c r="D11" i="1"/>
  <c r="K10" i="1"/>
  <c r="J10" i="1"/>
  <c r="G10" i="1"/>
  <c r="E10" i="1"/>
  <c r="D10" i="1"/>
  <c r="K9" i="1"/>
  <c r="J9" i="1"/>
  <c r="G9" i="1"/>
  <c r="E9" i="1"/>
  <c r="D9" i="1"/>
  <c r="K8" i="1"/>
  <c r="J8" i="1"/>
  <c r="G8" i="1"/>
  <c r="E8" i="1"/>
  <c r="D8" i="1"/>
  <c r="K7" i="1"/>
  <c r="J7" i="1"/>
  <c r="G7" i="1"/>
  <c r="E7" i="1"/>
  <c r="D7" i="1"/>
  <c r="K6" i="1"/>
  <c r="J6" i="1"/>
  <c r="G6" i="1"/>
  <c r="E6" i="1"/>
  <c r="D6" i="1"/>
  <c r="D17" i="3" l="1"/>
  <c r="D22" i="3"/>
  <c r="D21" i="3"/>
  <c r="D28" i="3"/>
  <c r="D29" i="3"/>
  <c r="D16" i="3"/>
  <c r="D30" i="3"/>
  <c r="D31" i="3"/>
  <c r="D18" i="3"/>
  <c r="F18" i="3" s="1"/>
  <c r="D23" i="3"/>
  <c r="F23" i="3" s="1"/>
  <c r="D26" i="3"/>
  <c r="F26" i="3" s="1"/>
  <c r="D32" i="3"/>
  <c r="F32" i="3" s="1"/>
  <c r="D33" i="3"/>
  <c r="F33" i="3" s="1"/>
  <c r="D34" i="3"/>
  <c r="F34" i="3" s="1"/>
  <c r="D14" i="3"/>
  <c r="F14" i="3" s="1"/>
  <c r="D19" i="3"/>
  <c r="F19" i="3" s="1"/>
  <c r="D25" i="3"/>
  <c r="F25" i="3" s="1"/>
  <c r="D35" i="3"/>
  <c r="F35" i="3" s="1"/>
  <c r="D15" i="3"/>
  <c r="F15" i="3" s="1"/>
  <c r="D20" i="3"/>
  <c r="F20" i="3" s="1"/>
  <c r="D24" i="3"/>
  <c r="F24" i="3" s="1"/>
  <c r="D27" i="3"/>
  <c r="F27" i="3" s="1"/>
  <c r="D36" i="3"/>
  <c r="F36" i="3" s="1"/>
  <c r="D37" i="3"/>
  <c r="F37" i="3" s="1"/>
  <c r="D38" i="3"/>
  <c r="F38" i="3" s="1"/>
  <c r="D39" i="3"/>
  <c r="F39" i="3" s="1"/>
  <c r="D40" i="3"/>
  <c r="F40" i="3" s="1"/>
  <c r="D9" i="3"/>
  <c r="F9" i="3" s="1"/>
  <c r="D41" i="3"/>
  <c r="F41" i="3" s="1"/>
  <c r="D8" i="3"/>
  <c r="F8" i="3" s="1"/>
  <c r="D42" i="3"/>
  <c r="F42" i="3" s="1"/>
  <c r="D10" i="3"/>
  <c r="F10" i="3" s="1"/>
  <c r="D11" i="3"/>
  <c r="D43" i="3"/>
  <c r="D7" i="3"/>
  <c r="D12" i="3"/>
  <c r="F12" i="3" s="1"/>
  <c r="D44" i="3"/>
  <c r="F44" i="3" s="1"/>
  <c r="D6" i="3"/>
  <c r="D13" i="3"/>
  <c r="F13" i="3" s="1"/>
  <c r="F45" i="3"/>
  <c r="F43" i="3"/>
  <c r="F31" i="3"/>
  <c r="F30" i="3"/>
  <c r="F29" i="3"/>
  <c r="F28" i="3"/>
  <c r="F22" i="3"/>
  <c r="F21" i="3"/>
  <c r="F17" i="3"/>
  <c r="F16" i="3"/>
  <c r="F11" i="3"/>
  <c r="F7" i="3"/>
  <c r="F6" i="3"/>
  <c r="G2" i="2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F2" i="3" l="1"/>
  <c r="H2" i="3" s="1"/>
</calcChain>
</file>

<file path=xl/sharedStrings.xml><?xml version="1.0" encoding="utf-8"?>
<sst xmlns="http://schemas.openxmlformats.org/spreadsheetml/2006/main" count="66" uniqueCount="51">
  <si>
    <t>Today</t>
  </si>
  <si>
    <t>DayCount Basis</t>
  </si>
  <si>
    <t>IRS Coupon Freq</t>
  </si>
  <si>
    <t>ACT/365</t>
  </si>
  <si>
    <t>No</t>
  </si>
  <si>
    <t>Jump Date</t>
  </si>
  <si>
    <t>Inst. Tenor</t>
  </si>
  <si>
    <t>Type</t>
  </si>
  <si>
    <t>Mty Date</t>
  </si>
  <si>
    <t>Mty YearFrac</t>
  </si>
  <si>
    <t>Jump YearFrac</t>
  </si>
  <si>
    <t>Market Rate</t>
  </si>
  <si>
    <t>Solved Forward</t>
  </si>
  <si>
    <t>Jump Date DCF</t>
  </si>
  <si>
    <t>Mty Date DCF</t>
  </si>
  <si>
    <t>Jump Zero Rate</t>
  </si>
  <si>
    <t>Mty Zero Rate</t>
  </si>
  <si>
    <t>1D</t>
  </si>
  <si>
    <t>Deposit</t>
  </si>
  <si>
    <t>3M</t>
  </si>
  <si>
    <t>06M</t>
  </si>
  <si>
    <t>IRS</t>
  </si>
  <si>
    <t>09M</t>
  </si>
  <si>
    <t>01Y</t>
  </si>
  <si>
    <t>18M</t>
  </si>
  <si>
    <t>02Y</t>
  </si>
  <si>
    <t>Target Tenor</t>
  </si>
  <si>
    <t>Target Index</t>
  </si>
  <si>
    <t>Target Date</t>
  </si>
  <si>
    <t>Target YearFrac</t>
  </si>
  <si>
    <t>NPV</t>
  </si>
  <si>
    <t>NPV Error</t>
  </si>
  <si>
    <t>Payment Date</t>
  </si>
  <si>
    <t>YearFrac</t>
  </si>
  <si>
    <t>Expected CashFlow</t>
  </si>
  <si>
    <t>DF</t>
  </si>
  <si>
    <t>DCF</t>
  </si>
  <si>
    <t>NPV Fixed</t>
  </si>
  <si>
    <t>NPV Floating</t>
  </si>
  <si>
    <t>Creation Timestamp</t>
  </si>
  <si>
    <t>Date-Based IRS Bootstrapper</t>
  </si>
  <si>
    <t>Features:</t>
  </si>
  <si>
    <t>- All calculations are date-based</t>
  </si>
  <si>
    <t>- Day count: ACT/365, ACT/360, ACT/ACT, 30/360</t>
  </si>
  <si>
    <t>- IRS freq: Annual, Semi, Quarterly, Monthly, Daily</t>
  </si>
  <si>
    <t>VBA Functions:</t>
  </si>
  <si>
    <t>CalcYF, AddTenor, LogLinearDF_Date, RunBootstrap</t>
  </si>
  <si>
    <t>Usage:</t>
  </si>
  <si>
    <t>1. Set Today and DayCount Basis</t>
  </si>
  <si>
    <t>2. Enter market instruments</t>
  </si>
  <si>
    <t>3. Click Run Bootstrapping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</si>
</sst>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0.0000000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15">
    <dxf>
      <numFmt numFmtId="176" formatCode="0.0000%"/>
    </dxf>
    <dxf>
      <numFmt numFmtId="19" formatCode="yyyy/mm/dd"/>
    </dxf>
    <dxf>
      <numFmt numFmtId="19" formatCode="yyyy/mm/dd"/>
    </dxf>
    <dxf>
      <numFmt numFmtId="176" formatCode="0.0000%"/>
    </dxf>
    <dxf>
      <numFmt numFmtId="19" formatCode="yyyy/mm/dd"/>
    </dxf>
    <dxf>
      <numFmt numFmtId="177" formatCode="0.00000000"/>
    </dxf>
    <dxf>
      <numFmt numFmtId="176" formatCode="0.0000%"/>
    </dxf>
    <dxf>
      <numFmt numFmtId="177" formatCode="0.00000000"/>
    </dxf>
    <dxf>
      <numFmt numFmtId="176" formatCode="0.0000%"/>
    </dxf>
    <dxf>
      <numFmt numFmtId="176" formatCode="0.0000%"/>
    </dxf>
    <dxf>
      <numFmt numFmtId="176" formatCode="0.0000%"/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6</xdr:col>
          <xdr:colOff>438150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A75C495-ABDD-4247-8BF2-D18DD67BE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9BA0EC-B662-4240-AA3F-A995C63872A9}" name="Common" displayName="Common" ref="A1:C2" totalsRowShown="0">
  <autoFilter ref="A1:C2" xr:uid="{853FEB85-77B9-47F9-9A91-677833E76483}"/>
  <tableColumns count="3">
    <tableColumn id="1" xr3:uid="{7A3F2D06-BCFA-4493-93A2-EFA99FCEFAF1}" name="Today" dataDxfId="14"/>
    <tableColumn id="2" xr3:uid="{89A3C177-5848-4D89-BFFA-93E18FA9B96A}" name="DayCount Basis"/>
    <tableColumn id="3" xr3:uid="{30941FC6-AF60-4A18-BA2E-B43B9D920616}" name="IRS Coupon Freq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DAE2A-CDD8-4A18-888D-4D5CDEB30837}" name="JumpDates" displayName="JumpDates" ref="O1:P18" totalsRowShown="0">
  <autoFilter ref="O1:P18" xr:uid="{2844AE2C-C6BD-435F-8440-6B9CA2412FE0}"/>
  <tableColumns count="2">
    <tableColumn id="1" xr3:uid="{16A16468-B226-43FF-B6CF-F1FA4AB01800}" name="No"/>
    <tableColumn id="2" xr3:uid="{EBD67B9F-7A1A-411F-AA00-5EEDBA26214A}" name="Jump Date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C4A51C-8306-4394-BF7F-626077A2BD96}" name="MarketTable" displayName="MarketTable" ref="A5:M12" totalsRowShown="0">
  <autoFilter ref="A5:M12" xr:uid="{C84C0776-008B-4574-8E9E-38FC725B6D02}"/>
  <tableColumns count="13">
    <tableColumn id="1" xr3:uid="{4E507B35-025D-4553-B30B-A84B0EA2A3A4}" name="No"/>
    <tableColumn id="2" xr3:uid="{2F0EF35D-F789-4E19-8BAD-9ABB4784B96A}" name="Inst. Tenor"/>
    <tableColumn id="3" xr3:uid="{D39D7EE7-F408-4ABC-8922-6EE439F09410}" name="Type"/>
    <tableColumn id="4" xr3:uid="{925D67F5-CA1B-48EE-9441-D78CE844D923}" name="Mty Date" dataDxfId="12"/>
    <tableColumn id="5" xr3:uid="{FE9C144A-F797-4913-96AC-EEA2AF8CCD00}" name="Mty YearFrac"/>
    <tableColumn id="6" xr3:uid="{4770151A-1B5A-4244-B146-FA3A4472F4CB}" name="Jump Date" dataDxfId="11"/>
    <tableColumn id="7" xr3:uid="{ACF7BC87-3AAD-40F7-97B5-1E83D65A5270}" name="Jump YearFrac"/>
    <tableColumn id="8" xr3:uid="{41C99966-F0D5-41C1-88BF-BF355D6EAE0A}" name="Market Rate" dataDxfId="10"/>
    <tableColumn id="9" xr3:uid="{95C6277A-F02D-4AAC-B4EC-3CC274F1C1D3}" name="Solved Forward" dataDxfId="8"/>
    <tableColumn id="10" xr3:uid="{D50F6CD4-78D2-40A7-A599-12FE6E9CE3B7}" name="Jump Date DCF" dataDxfId="7"/>
    <tableColumn id="11" xr3:uid="{32A35832-85CD-46C8-9735-3C30C427BE22}" name="Mty Date DCF" dataDxfId="5"/>
    <tableColumn id="12" xr3:uid="{29A69370-2F23-4E7C-A9C5-88EFCCF5373E}" name="Jump Zero Rate" dataDxfId="6"/>
    <tableColumn id="13" xr3:uid="{249C5923-813E-4A57-BF69-0E97EE412030}" name="Mty Zero Rate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CA2E2E-953B-4EA2-A7A8-7AA97F43B421}" name="Summary_Deposit" displayName="Summary_Deposit" ref="A1:G2" totalsRowShown="0">
  <autoFilter ref="A1:G2" xr:uid="{867D5904-342C-4EF7-8CD2-005C5E855720}"/>
  <tableColumns count="7">
    <tableColumn id="1" xr3:uid="{DE097373-83E2-4F22-A6F3-F6C38C458EBD}" name="Target Tenor">
      <calculatedColumnFormula>INDEX(MarketTable[Inst. Tenor], Summary_Deposit[[#This Row],[Target Index]])</calculatedColumnFormula>
    </tableColumn>
    <tableColumn id="2" xr3:uid="{8EB25D5F-026A-4C14-BC62-FBAC8A99FDEB}" name="Target Index"/>
    <tableColumn id="3" xr3:uid="{92AAB8A9-643D-407A-9F42-60FCCA68106D}" name="Target Date" dataDxfId="4">
      <calculatedColumnFormula>INDEX(MarketTable[Mty Date], Summary_Deposit[[#This Row],[Target Index]])</calculatedColumnFormula>
    </tableColumn>
    <tableColumn id="4" xr3:uid="{585B52D4-AC01-48E7-9BF9-20D4591D1F9D}" name="Target YearFrac">
      <calculatedColumnFormula>INDEX(MarketTable[Mty YearFrac], Summary_Deposit[[#This Row],[Target Index]])</calculatedColumnFormula>
    </tableColumn>
    <tableColumn id="5" xr3:uid="{49573AC9-D98B-4D02-86F7-9856349B7C16}" name="Market Rate" dataDxfId="3">
      <calculatedColumnFormula>INDEX(MarketTable[Market Rate], Summary_Deposit[[#This Row],[Target Index]])</calculatedColumnFormula>
    </tableColumn>
    <tableColumn id="6" xr3:uid="{24205D9B-7CB3-4B66-BB3A-4B9F72030944}" name="NPV">
      <calculatedColumnFormula>(1 + Summary_Deposit[[#This Row],[Market Rate]] * Summary_Deposit[[#This Row],[Target YearFrac]]) * LogLinearDF_Date(Summary_Deposit[[#This Row],[Target Date]], INDEX(Common[Today],1), MarketTable[Jump Date], MarketTable[Solved Forward], INDEX(Common[DayCount Basis],1))</calculatedColumnFormula>
    </tableColumn>
    <tableColumn id="7" xr3:uid="{991AAA01-CD88-4CAE-8AFF-CC6D0FB05227}" name="NPV Error">
      <calculatedColumnFormula>Summary_Deposit[[#This Row],[NPV]] - 1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2026EA-4558-47EE-AC10-0A5AD3381389}" name="CalcTable_IRS" displayName="CalcTable_IRS" ref="A5:F45" totalsRowShown="0">
  <autoFilter ref="A5:F45" xr:uid="{7FFD837B-26ED-43E7-8334-D3C234B1B3B7}"/>
  <tableColumns count="6">
    <tableColumn id="1" xr3:uid="{20DF096C-A936-485D-A18D-985FAEE9C1A9}" name="No"/>
    <tableColumn id="2" xr3:uid="{591C30EE-B957-41B3-ADFD-80007E22CDDC}" name="Payment Date" dataDxfId="2"/>
    <tableColumn id="3" xr3:uid="{B13023B7-4B76-4164-ABA8-D3B77843D4F7}" name="YearFrac"/>
    <tableColumn id="4" xr3:uid="{04BE72F5-AEC5-4822-8301-5AE40A01533E}" name="Expected CashFlow"/>
    <tableColumn id="5" xr3:uid="{2F9D3E9D-6DA8-4987-AC37-B91CB6B2CC31}" name="DF"/>
    <tableColumn id="6" xr3:uid="{FA2DCD9B-37A3-4FCE-BEF5-7A2B1EB408FB}" name="DC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8CFEC1-F987-418D-9284-2DF7773AEB9E}" name="Summary_IRS" displayName="Summary_IRS" ref="A1:H2" totalsRowShown="0">
  <autoFilter ref="A1:H2" xr:uid="{7D75232A-8C63-4153-8689-74A2951BB0C9}"/>
  <tableColumns count="8">
    <tableColumn id="1" xr3:uid="{51B2A0F4-16F1-42B7-97ED-C91396758300}" name="Target Tenor">
      <calculatedColumnFormula>INDEX(MarketTable[Inst. Tenor], Summary_IRS[[#This Row],[Target Index]])</calculatedColumnFormula>
    </tableColumn>
    <tableColumn id="2" xr3:uid="{426971A7-DCFC-4E1C-81A1-43DD25D97B0C}" name="Target Index"/>
    <tableColumn id="3" xr3:uid="{92058164-11E1-401C-90B6-2B39FBC91698}" name="Target Date" dataDxfId="1">
      <calculatedColumnFormula>INDEX(MarketTable[Mty Date], Summary_IRS[[#This Row],[Target Index]])</calculatedColumnFormula>
    </tableColumn>
    <tableColumn id="4" xr3:uid="{D315670F-9B38-429B-972C-9E627B2EFCDC}" name="Target YearFrac">
      <calculatedColumnFormula>INDEX(MarketTable[Mty YearFrac], Summary_IRS[[#This Row],[Target Index]])</calculatedColumnFormula>
    </tableColumn>
    <tableColumn id="5" xr3:uid="{E8CBA978-5525-4147-B21F-C3C475AC4907}" name="Market Rate" dataDxfId="0">
      <calculatedColumnFormula>INDEX(MarketTable[Market Rate], Summary_IRS[[#This Row],[Target Index]])</calculatedColumnFormula>
    </tableColumn>
    <tableColumn id="6" xr3:uid="{FD5707D3-9DCF-4E43-A650-8BCD635DB7C9}" name="NPV Fixed">
      <calculatedColumnFormula>SUMIFS(CalcTable_IRS[DCF], CalcTable_IRS[Payment Date], "&lt;=" &amp; Summary_IRS[[#This Row],[Target Date]] + 0.5)</calculatedColumnFormula>
    </tableColumn>
    <tableColumn id="7" xr3:uid="{9F1B1951-A413-4FFD-9CA3-07435B05354D}" name="NPV Floating">
      <calculatedColumnFormula>1 - LogLinearDF_Date(Summary_IRS[[#This Row],[Target Date]], INDEX(Common[Today],1), MarketTable[Jump Date], MarketTable[Solved Forward], INDEX(Common[DayCount Basis],1))</calculatedColumnFormula>
    </tableColumn>
    <tableColumn id="8" xr3:uid="{8B183550-7182-43B0-9B1D-7B286E4A0FD8}" name="NPV Error">
      <calculatedColumnFormula>Summary_IRS[[#This Row],[NPV Fixed]] - Summary_IRS[[#This Row],[NPV Floating]]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72C28-E7FA-42EF-BC49-2A53624045D8}">
  <sheetPr codeName="Sheet1"/>
  <dimension ref="A1:P18"/>
  <sheetViews>
    <sheetView tabSelected="1" workbookViewId="0">
      <selection activeCell="P14" sqref="P14"/>
    </sheetView>
  </sheetViews>
  <sheetFormatPr defaultRowHeight="16.5" x14ac:dyDescent="0.3"/>
  <cols>
    <col min="1" max="1" width="11.125" bestFit="1" customWidth="1"/>
    <col min="2" max="2" width="18.25" bestFit="1" customWidth="1"/>
    <col min="3" max="3" width="19.375" bestFit="1" customWidth="1"/>
    <col min="4" max="4" width="12" bestFit="1" customWidth="1"/>
    <col min="5" max="5" width="15.75" bestFit="1" customWidth="1"/>
    <col min="6" max="6" width="13.375" bestFit="1" customWidth="1"/>
    <col min="7" max="7" width="17.125" bestFit="1" customWidth="1"/>
    <col min="8" max="8" width="14.875" bestFit="1" customWidth="1"/>
    <col min="9" max="9" width="17.875" bestFit="1" customWidth="1"/>
    <col min="10" max="10" width="18.125" bestFit="1" customWidth="1"/>
    <col min="11" max="11" width="16.625" bestFit="1" customWidth="1"/>
    <col min="12" max="12" width="18.375" bestFit="1" customWidth="1"/>
    <col min="13" max="13" width="17" bestFit="1" customWidth="1"/>
    <col min="15" max="15" width="6.375" bestFit="1" customWidth="1"/>
    <col min="16" max="16" width="13.375" bestFit="1" customWidth="1"/>
  </cols>
  <sheetData>
    <row r="1" spans="1:16" x14ac:dyDescent="0.3">
      <c r="A1" t="s">
        <v>0</v>
      </c>
      <c r="B1" t="s">
        <v>1</v>
      </c>
      <c r="C1" t="s">
        <v>2</v>
      </c>
      <c r="O1" t="s">
        <v>4</v>
      </c>
      <c r="P1" t="s">
        <v>5</v>
      </c>
    </row>
    <row r="2" spans="1:16" x14ac:dyDescent="0.3">
      <c r="A2" s="1">
        <v>46030</v>
      </c>
      <c r="B2" t="s">
        <v>3</v>
      </c>
      <c r="C2">
        <v>4</v>
      </c>
      <c r="O2">
        <v>1</v>
      </c>
      <c r="P2" s="1">
        <v>46037</v>
      </c>
    </row>
    <row r="3" spans="1:16" x14ac:dyDescent="0.3">
      <c r="O3">
        <v>2</v>
      </c>
      <c r="P3" s="1">
        <v>46079</v>
      </c>
    </row>
    <row r="4" spans="1:16" x14ac:dyDescent="0.3">
      <c r="O4">
        <v>3</v>
      </c>
      <c r="P4" s="1">
        <v>46122</v>
      </c>
    </row>
    <row r="5" spans="1:16" x14ac:dyDescent="0.3">
      <c r="A5" t="s">
        <v>4</v>
      </c>
      <c r="B5" t="s">
        <v>6</v>
      </c>
      <c r="C5" t="s">
        <v>7</v>
      </c>
      <c r="D5" t="s">
        <v>8</v>
      </c>
      <c r="E5" t="s">
        <v>9</v>
      </c>
      <c r="F5" t="s">
        <v>5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O5">
        <v>4</v>
      </c>
      <c r="P5" s="1">
        <v>46170</v>
      </c>
    </row>
    <row r="6" spans="1:16" x14ac:dyDescent="0.3">
      <c r="A6">
        <v>1</v>
      </c>
      <c r="B6" t="s">
        <v>17</v>
      </c>
      <c r="C6" t="s">
        <v>18</v>
      </c>
      <c r="D6" s="1">
        <f>AddTenor(INDEX(Common[Today],1), MarketTable[[#This Row],[Inst. Tenor]])</f>
        <v>46031</v>
      </c>
      <c r="E6">
        <f>CalcYF(INDEX(Common[Today],1), MarketTable[[#This Row],[Mty Date]], INDEX(Common[DayCount Basis],1))</f>
        <v>2.7397260273972603E-3</v>
      </c>
      <c r="F6" s="1">
        <f>_xlfn.MINIFS(JumpDates[Jump Date], JumpDates[Jump Date], "&gt;=" &amp; MarketTable[[#This Row],[Mty Date]])</f>
        <v>46037</v>
      </c>
      <c r="G6">
        <f>CalcYF(INDEX(Common[Today],1), MarketTable[[#This Row],[Jump Date]], INDEX(Common[DayCount Basis],1))</f>
        <v>1.9178082191780823E-2</v>
      </c>
      <c r="H6" s="2">
        <v>2.5000000000000001E-2</v>
      </c>
      <c r="I6" s="2">
        <v>2.4999143874701493E-2</v>
      </c>
      <c r="J6" s="3">
        <f ca="1">LogLinearDF_Date(MarketTable[[#This Row],[Jump Date]], INDEX(Common[Today],1), MarketTable[Jump Date], MarketTable[Solved Forward], INDEX(Common[DayCount Basis],1))</f>
        <v>0.99952067927494648</v>
      </c>
      <c r="K6" s="3">
        <f ca="1">LogLinearDF_Date(MarketTable[[#This Row],[Mty Date]], INDEX(Common[Today],1), MarketTable[Jump Date], MarketTable[Solved Forward], INDEX(Common[DayCount Basis],1))</f>
        <v>0.99993151154030546</v>
      </c>
      <c r="L6" s="2">
        <f ca="1">IF(MarketTable[[#This Row],[Jump YearFrac]]&gt;0, -LN(MarketTable[[#This Row],[Jump Date DCF]])/MarketTable[[#This Row],[Jump YearFrac]], 0)</f>
        <v>2.4999143874701164E-2</v>
      </c>
      <c r="M6" s="2">
        <f ca="1">IF(MarketTable[[#This Row],[Mty YearFrac]]&gt;0, -LN(MarketTable[[#This Row],[Mty Date DCF]])/MarketTable[[#This Row],[Mty YearFrac]], 0)</f>
        <v>2.4999143874707377E-2</v>
      </c>
      <c r="O6">
        <v>5</v>
      </c>
      <c r="P6" s="1">
        <v>46219</v>
      </c>
    </row>
    <row r="7" spans="1:16" x14ac:dyDescent="0.3">
      <c r="A7">
        <v>2</v>
      </c>
      <c r="B7" t="s">
        <v>19</v>
      </c>
      <c r="C7" t="s">
        <v>18</v>
      </c>
      <c r="D7" s="1">
        <f>AddTenor(INDEX(Common[Today],1), MarketTable[[#This Row],[Inst. Tenor]])</f>
        <v>46120</v>
      </c>
      <c r="E7">
        <f>CalcYF(INDEX(Common[Today],1), MarketTable[[#This Row],[Mty Date]], INDEX(Common[DayCount Basis],1))</f>
        <v>0.24657534246575341</v>
      </c>
      <c r="F7" s="1">
        <f>_xlfn.MINIFS(JumpDates[Jump Date], JumpDates[Jump Date], "&gt;=" &amp; MarketTable[[#This Row],[Mty Date]])</f>
        <v>46122</v>
      </c>
      <c r="G7">
        <f>CalcYF(INDEX(Common[Today],1), MarketTable[[#This Row],[Jump Date]], INDEX(Common[DayCount Basis],1))</f>
        <v>0.25205479452054796</v>
      </c>
      <c r="H7" s="2">
        <v>2.7E-2</v>
      </c>
      <c r="I7" s="2">
        <v>2.7071720625218003E-2</v>
      </c>
      <c r="J7" s="3">
        <f ca="1">LogLinearDF_Date(MarketTable[[#This Row],[Jump Date]], INDEX(Common[Today],1), MarketTable[Jump Date], MarketTable[Solved Forward], INDEX(Common[DayCount Basis],1))</f>
        <v>0.99323914915581524</v>
      </c>
      <c r="K7" s="3">
        <f ca="1">LogLinearDF_Date(MarketTable[[#This Row],[Mty Date]], INDEX(Common[Today],1), MarketTable[Jump Date], MarketTable[Solved Forward], INDEX(Common[DayCount Basis],1))</f>
        <v>0.99338649538687651</v>
      </c>
      <c r="L7" s="2">
        <f ca="1">IF(MarketTable[[#This Row],[Jump YearFrac]]&gt;0, -LN(MarketTable[[#This Row],[Jump Date DCF]])/MarketTable[[#This Row],[Jump YearFrac]], 0)</f>
        <v>2.6914024568113638E-2</v>
      </c>
      <c r="M7" s="2">
        <f ca="1">IF(MarketTable[[#This Row],[Mty YearFrac]]&gt;0, -LN(MarketTable[[#This Row],[Mty Date DCF]])/MarketTable[[#This Row],[Mty YearFrac]], 0)</f>
        <v>2.6910520211288768E-2</v>
      </c>
      <c r="O7">
        <v>6</v>
      </c>
      <c r="P7" s="1">
        <v>46261</v>
      </c>
    </row>
    <row r="8" spans="1:16" x14ac:dyDescent="0.3">
      <c r="A8">
        <v>3</v>
      </c>
      <c r="B8" t="s">
        <v>20</v>
      </c>
      <c r="C8" t="s">
        <v>21</v>
      </c>
      <c r="D8" s="1">
        <f>AddTenor(INDEX(Common[Today],1), MarketTable[[#This Row],[Inst. Tenor]])</f>
        <v>46211</v>
      </c>
      <c r="E8">
        <f>CalcYF(INDEX(Common[Today],1), MarketTable[[#This Row],[Mty Date]], INDEX(Common[DayCount Basis],1))</f>
        <v>0.49589041095890413</v>
      </c>
      <c r="F8" s="1">
        <f>_xlfn.MINIFS(JumpDates[Jump Date], JumpDates[Jump Date], "&gt;=" &amp; MarketTable[[#This Row],[Mty Date]])</f>
        <v>46219</v>
      </c>
      <c r="G8">
        <f>CalcYF(INDEX(Common[Today],1), MarketTable[[#This Row],[Jump Date]], INDEX(Common[DayCount Basis],1))</f>
        <v>0.51780821917808217</v>
      </c>
      <c r="H8" s="2">
        <v>2.7050000000000001E-2</v>
      </c>
      <c r="I8" s="2">
        <v>2.746264072648337E-2</v>
      </c>
      <c r="J8" s="3">
        <f ca="1">LogLinearDF_Date(MarketTable[[#This Row],[Jump Date]], INDEX(Common[Today],1), MarketTable[Jump Date], MarketTable[Solved Forward], INDEX(Common[DayCount Basis],1))</f>
        <v>0.9860165892188788</v>
      </c>
      <c r="K8" s="3">
        <f ca="1">LogLinearDF_Date(MarketTable[[#This Row],[Mty Date]], INDEX(Common[Today],1), MarketTable[Jump Date], MarketTable[Solved Forward], INDEX(Common[DayCount Basis],1))</f>
        <v>0.98661027186148298</v>
      </c>
      <c r="L8" s="2">
        <f ca="1">IF(MarketTable[[#This Row],[Jump YearFrac]]&gt;0, -LN(MarketTable[[#This Row],[Jump Date DCF]])/MarketTable[[#This Row],[Jump YearFrac]], 0)</f>
        <v>2.7195589474790095E-2</v>
      </c>
      <c r="M8" s="2">
        <f ca="1">IF(MarketTable[[#This Row],[Mty YearFrac]]&gt;0, -LN(MarketTable[[#This Row],[Mty Date DCF]])/MarketTable[[#This Row],[Mty YearFrac]], 0)</f>
        <v>2.7183786104549513E-2</v>
      </c>
      <c r="O8">
        <v>7</v>
      </c>
      <c r="P8" s="1">
        <v>46317</v>
      </c>
    </row>
    <row r="9" spans="1:16" x14ac:dyDescent="0.3">
      <c r="A9">
        <v>4</v>
      </c>
      <c r="B9" t="s">
        <v>22</v>
      </c>
      <c r="C9" t="s">
        <v>21</v>
      </c>
      <c r="D9" s="1">
        <f>AddTenor(INDEX(Common[Today],1), MarketTable[[#This Row],[Inst. Tenor]])</f>
        <v>46303</v>
      </c>
      <c r="E9">
        <f>CalcYF(INDEX(Common[Today],1), MarketTable[[#This Row],[Mty Date]], INDEX(Common[DayCount Basis],1))</f>
        <v>0.74794520547945209</v>
      </c>
      <c r="F9" s="1">
        <f>_xlfn.MINIFS(JumpDates[Jump Date], JumpDates[Jump Date], "&gt;=" &amp; MarketTable[[#This Row],[Mty Date]])</f>
        <v>46317</v>
      </c>
      <c r="G9">
        <f>CalcYF(INDEX(Common[Today],1), MarketTable[[#This Row],[Jump Date]], INDEX(Common[DayCount Basis],1))</f>
        <v>0.78630136986301369</v>
      </c>
      <c r="H9" s="2">
        <v>2.7125E-2</v>
      </c>
      <c r="I9" s="2">
        <v>2.6914706053361517E-2</v>
      </c>
      <c r="J9" s="3">
        <f ca="1">LogLinearDF_Date(MarketTable[[#This Row],[Jump Date]], INDEX(Common[Today],1), MarketTable[Jump Date], MarketTable[Solved Forward], INDEX(Common[DayCount Basis],1))</f>
        <v>0.97891690842268408</v>
      </c>
      <c r="K9" s="3">
        <f ca="1">LogLinearDF_Date(MarketTable[[#This Row],[Mty Date]], INDEX(Common[Today],1), MarketTable[Jump Date], MarketTable[Solved Forward], INDEX(Common[DayCount Basis],1))</f>
        <v>0.9799280101035821</v>
      </c>
      <c r="L9" s="2">
        <f ca="1">IF(MarketTable[[#This Row],[Jump YearFrac]]&gt;0, -LN(MarketTable[[#This Row],[Jump Date DCF]])/MarketTable[[#This Row],[Jump YearFrac]], 0)</f>
        <v>2.7099678062594956E-2</v>
      </c>
      <c r="M9" s="2">
        <f ca="1">IF(MarketTable[[#This Row],[Mty YearFrac]]&gt;0, -LN(MarketTable[[#This Row],[Mty Date DCF]])/MarketTable[[#This Row],[Mty YearFrac]], 0)</f>
        <v>2.7109163806658215E-2</v>
      </c>
      <c r="O9">
        <v>8</v>
      </c>
      <c r="P9" s="1">
        <v>46352</v>
      </c>
    </row>
    <row r="10" spans="1:16" x14ac:dyDescent="0.3">
      <c r="A10">
        <v>5</v>
      </c>
      <c r="B10" t="s">
        <v>23</v>
      </c>
      <c r="C10" t="s">
        <v>21</v>
      </c>
      <c r="D10" s="1">
        <f>AddTenor(INDEX(Common[Today],1), MarketTable[[#This Row],[Inst. Tenor]])</f>
        <v>46395</v>
      </c>
      <c r="E10">
        <f>CalcYF(INDEX(Common[Today],1), MarketTable[[#This Row],[Mty Date]], INDEX(Common[DayCount Basis],1))</f>
        <v>1</v>
      </c>
      <c r="F10" s="1">
        <f>_xlfn.MINIFS(JumpDates[Jump Date], JumpDates[Jump Date], "&gt;=" &amp; MarketTable[[#This Row],[Mty Date]])</f>
        <v>46401</v>
      </c>
      <c r="G10">
        <f>CalcYF(INDEX(Common[Today],1), MarketTable[[#This Row],[Jump Date]], INDEX(Common[DayCount Basis],1))</f>
        <v>1.0164383561643835</v>
      </c>
      <c r="H10" s="2">
        <v>2.7349999999999999E-2</v>
      </c>
      <c r="I10" s="2">
        <v>2.7851399761064009E-2</v>
      </c>
      <c r="J10" s="3">
        <f ca="1">LogLinearDF_Date(MarketTable[[#This Row],[Jump Date]], INDEX(Common[Today],1), MarketTable[Jump Date], MarketTable[Solved Forward], INDEX(Common[DayCount Basis],1))</f>
        <v>0.97266247193279032</v>
      </c>
      <c r="K10" s="3">
        <f ca="1">LogLinearDF_Date(MarketTable[[#This Row],[Mty Date]], INDEX(Common[Today],1), MarketTable[Jump Date], MarketTable[Solved Forward], INDEX(Common[DayCount Basis],1))</f>
        <v>0.97310788914284196</v>
      </c>
      <c r="L10" s="2">
        <f ca="1">IF(MarketTable[[#This Row],[Jump YearFrac]]&gt;0, -LN(MarketTable[[#This Row],[Jump Date DCF]])/MarketTable[[#This Row],[Jump YearFrac]], 0)</f>
        <v>2.7269879201870986E-2</v>
      </c>
      <c r="M10" s="2">
        <f ca="1">IF(MarketTable[[#This Row],[Mty YearFrac]]&gt;0, -LN(MarketTable[[#This Row],[Mty Date DCF]])/MarketTable[[#This Row],[Mty YearFrac]], 0)</f>
        <v>2.7260319959802003E-2</v>
      </c>
      <c r="O10">
        <v>9</v>
      </c>
      <c r="P10" s="1">
        <v>46401</v>
      </c>
    </row>
    <row r="11" spans="1:16" x14ac:dyDescent="0.3">
      <c r="A11">
        <v>6</v>
      </c>
      <c r="B11" t="s">
        <v>24</v>
      </c>
      <c r="C11" t="s">
        <v>21</v>
      </c>
      <c r="D11" s="1">
        <f>AddTenor(INDEX(Common[Today],1), MarketTable[[#This Row],[Inst. Tenor]])</f>
        <v>46576</v>
      </c>
      <c r="E11">
        <f>CalcYF(INDEX(Common[Today],1), MarketTable[[#This Row],[Mty Date]], INDEX(Common[DayCount Basis],1))</f>
        <v>1.4958904109589042</v>
      </c>
      <c r="F11" s="1">
        <f>_xlfn.MINIFS(JumpDates[Jump Date], JumpDates[Jump Date], "&gt;=" &amp; MarketTable[[#This Row],[Mty Date]])</f>
        <v>46583</v>
      </c>
      <c r="G11">
        <f>CalcYF(INDEX(Common[Today],1), MarketTable[[#This Row],[Jump Date]], INDEX(Common[DayCount Basis],1))</f>
        <v>1.515068493150685</v>
      </c>
      <c r="H11" s="2">
        <v>2.8025000000000001E-2</v>
      </c>
      <c r="I11" s="2">
        <v>2.9598055215602433E-2</v>
      </c>
      <c r="J11" s="3">
        <f ca="1">LogLinearDF_Date(MarketTable[[#This Row],[Jump Date]], INDEX(Common[Today],1), MarketTable[Jump Date], MarketTable[Solved Forward], INDEX(Common[DayCount Basis],1))</f>
        <v>0.95841285999860582</v>
      </c>
      <c r="K11" s="3">
        <f ca="1">LogLinearDF_Date(MarketTable[[#This Row],[Mty Date]], INDEX(Common[Today],1), MarketTable[Jump Date], MarketTable[Solved Forward], INDEX(Common[DayCount Basis],1))</f>
        <v>0.95895704209579757</v>
      </c>
      <c r="L11" s="2">
        <f ca="1">IF(MarketTable[[#This Row],[Jump YearFrac]]&gt;0, -LN(MarketTable[[#This Row],[Jump Date DCF]])/MarketTable[[#This Row],[Jump YearFrac]], 0)</f>
        <v>2.8036114345630723E-2</v>
      </c>
      <c r="M11" s="2">
        <f ca="1">IF(MarketTable[[#This Row],[Mty YearFrac]]&gt;0, -LN(MarketTable[[#This Row],[Mty Date DCF]])/MarketTable[[#This Row],[Mty YearFrac]], 0)</f>
        <v>2.8016089462682338E-2</v>
      </c>
      <c r="O11">
        <v>10</v>
      </c>
      <c r="P11" s="1">
        <v>46443</v>
      </c>
    </row>
    <row r="12" spans="1:16" x14ac:dyDescent="0.3">
      <c r="A12">
        <v>7</v>
      </c>
      <c r="B12" t="s">
        <v>25</v>
      </c>
      <c r="C12" t="s">
        <v>21</v>
      </c>
      <c r="D12" s="1">
        <f>AddTenor(INDEX(Common[Today],1), MarketTable[[#This Row],[Inst. Tenor]])</f>
        <v>46760</v>
      </c>
      <c r="E12">
        <f>CalcYF(INDEX(Common[Today],1), MarketTable[[#This Row],[Mty Date]], INDEX(Common[DayCount Basis],1))</f>
        <v>2</v>
      </c>
      <c r="F12" s="1">
        <f>_xlfn.MINIFS(JumpDates[Jump Date], JumpDates[Jump Date], "&gt;=" &amp; MarketTable[[#This Row],[Mty Date]])</f>
        <v>46767</v>
      </c>
      <c r="G12">
        <f>CalcYF(INDEX(Common[Today],1), MarketTable[[#This Row],[Jump Date]], INDEX(Common[DayCount Basis],1))</f>
        <v>2.0191780821917806</v>
      </c>
      <c r="H12" s="2">
        <v>2.8924999999999999E-2</v>
      </c>
      <c r="I12" s="2">
        <v>3.1392733772311096E-2</v>
      </c>
      <c r="J12" s="3">
        <f ca="1">LogLinearDF_Date(MarketTable[[#This Row],[Jump Date]], INDEX(Common[Today],1), MarketTable[Jump Date], MarketTable[Solved Forward], INDEX(Common[DayCount Basis],1))</f>
        <v>0.94336499720341482</v>
      </c>
      <c r="K12" s="3">
        <f ca="1">LogLinearDF_Date(MarketTable[[#This Row],[Mty Date]], INDEX(Common[Today],1), MarketTable[Jump Date], MarketTable[Solved Forward], INDEX(Common[DayCount Basis],1))</f>
        <v>0.94393312339466851</v>
      </c>
      <c r="L12" s="2">
        <f ca="1">IF(MarketTable[[#This Row],[Jump YearFrac]]&gt;0, -LN(MarketTable[[#This Row],[Jump Date DCF]])/MarketTable[[#This Row],[Jump YearFrac]], 0)</f>
        <v>2.8874130593268682E-2</v>
      </c>
      <c r="M12" s="2">
        <f ca="1">IF(MarketTable[[#This Row],[Mty YearFrac]]&gt;0, -LN(MarketTable[[#This Row],[Mty Date DCF]])/MarketTable[[#This Row],[Mty YearFrac]], 0)</f>
        <v>2.8849979603880613E-2</v>
      </c>
      <c r="O12">
        <v>11</v>
      </c>
      <c r="P12" s="1">
        <v>46492</v>
      </c>
    </row>
    <row r="13" spans="1:16" x14ac:dyDescent="0.3">
      <c r="O13">
        <v>12</v>
      </c>
      <c r="P13" s="1">
        <v>46534</v>
      </c>
    </row>
    <row r="14" spans="1:16" x14ac:dyDescent="0.3">
      <c r="O14">
        <v>13</v>
      </c>
      <c r="P14" s="1">
        <v>46583</v>
      </c>
    </row>
    <row r="15" spans="1:16" x14ac:dyDescent="0.3">
      <c r="O15">
        <v>14</v>
      </c>
      <c r="P15" s="1">
        <v>46625</v>
      </c>
    </row>
    <row r="16" spans="1:16" x14ac:dyDescent="0.3">
      <c r="O16">
        <v>15</v>
      </c>
      <c r="P16" s="1">
        <v>46681</v>
      </c>
    </row>
    <row r="17" spans="15:16" x14ac:dyDescent="0.3">
      <c r="O17">
        <v>16</v>
      </c>
      <c r="P17" s="1">
        <v>46716</v>
      </c>
    </row>
    <row r="18" spans="15:16" x14ac:dyDescent="0.3">
      <c r="O18">
        <v>17</v>
      </c>
      <c r="P18" s="1">
        <v>46767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6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E74E1-7747-4265-9E86-56F734BC3A53}">
  <sheetPr codeName="Sheet2"/>
  <dimension ref="A1:G2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5" bestFit="1" customWidth="1"/>
    <col min="4" max="4" width="18.25" bestFit="1" customWidth="1"/>
    <col min="5" max="5" width="14.875" bestFit="1" customWidth="1"/>
    <col min="6" max="6" width="12.75" bestFit="1" customWidth="1"/>
    <col min="7" max="7" width="13.125" bestFit="1" customWidth="1"/>
  </cols>
  <sheetData>
    <row r="1" spans="1:7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30</v>
      </c>
      <c r="G1" t="s">
        <v>31</v>
      </c>
    </row>
    <row r="2" spans="1:7" x14ac:dyDescent="0.3">
      <c r="A2" t="str">
        <f>INDEX(MarketTable[Inst. Tenor], Summary_Deposit[[#This Row],[Target Index]])</f>
        <v>3M</v>
      </c>
      <c r="B2">
        <v>2</v>
      </c>
      <c r="C2" s="1">
        <f>INDEX(MarketTable[Mty Date], Summary_Deposit[[#This Row],[Target Index]])</f>
        <v>46120</v>
      </c>
      <c r="D2">
        <f>INDEX(MarketTable[Mty YearFrac], Summary_Deposit[[#This Row],[Target Index]])</f>
        <v>0.24657534246575341</v>
      </c>
      <c r="E2" s="2">
        <f>INDEX(MarketTable[Market Rate], Summary_Deposit[[#This Row],[Target Index]])</f>
        <v>2.7E-2</v>
      </c>
      <c r="F2">
        <f ca="1">(1 + Summary_Deposit[[#This Row],[Market Rate]] * Summary_Deposit[[#This Row],[Target YearFrac]]) * LogLinearDF_Date(Summary_Deposit[[#This Row],[Target Date]], INDEX(Common[Today],1), MarketTable[Jump Date], MarketTable[Solved Forward], INDEX(Common[DayCount Basis],1))</f>
        <v>1</v>
      </c>
      <c r="G2">
        <f ca="1">Summary_Deposit[[#This Row],[NPV]] - 1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9236-D0A2-4BD7-826B-BC31845D096A}">
  <sheetPr codeName="Sheet3"/>
  <dimension ref="A1:H45"/>
  <sheetViews>
    <sheetView workbookViewId="0"/>
  </sheetViews>
  <sheetFormatPr defaultRowHeight="16.5" x14ac:dyDescent="0.3"/>
  <cols>
    <col min="1" max="1" width="15.625" bestFit="1" customWidth="1"/>
    <col min="2" max="2" width="16.625" bestFit="1" customWidth="1"/>
    <col min="3" max="3" width="14.5" bestFit="1" customWidth="1"/>
    <col min="4" max="4" width="21.5" bestFit="1" customWidth="1"/>
    <col min="5" max="5" width="14.875" bestFit="1" customWidth="1"/>
    <col min="6" max="6" width="12.875" bestFit="1" customWidth="1"/>
    <col min="7" max="7" width="15.75" bestFit="1" customWidth="1"/>
    <col min="8" max="8" width="12.625" bestFit="1" customWidth="1"/>
  </cols>
  <sheetData>
    <row r="1" spans="1:8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37</v>
      </c>
      <c r="G1" t="s">
        <v>38</v>
      </c>
      <c r="H1" t="s">
        <v>31</v>
      </c>
    </row>
    <row r="2" spans="1:8" x14ac:dyDescent="0.3">
      <c r="A2" t="str">
        <f>INDEX(MarketTable[Inst. Tenor], Summary_IRS[[#This Row],[Target Index]])</f>
        <v>02Y</v>
      </c>
      <c r="B2">
        <v>7</v>
      </c>
      <c r="C2" s="1">
        <f>INDEX(MarketTable[Mty Date], Summary_IRS[[#This Row],[Target Index]])</f>
        <v>46760</v>
      </c>
      <c r="D2">
        <f>INDEX(MarketTable[Mty YearFrac], Summary_IRS[[#This Row],[Target Index]])</f>
        <v>2</v>
      </c>
      <c r="E2" s="2">
        <f>INDEX(MarketTable[Market Rate], Summary_IRS[[#This Row],[Target Index]])</f>
        <v>2.8924999999999999E-2</v>
      </c>
      <c r="F2">
        <f ca="1">SUMIFS(CalcTable_IRS[DCF], CalcTable_IRS[Payment Date], "&lt;=" &amp; Summary_IRS[[#This Row],[Target Date]] + 0.5)</f>
        <v>5.6066876605574495E-2</v>
      </c>
      <c r="G2">
        <f ca="1">1 - LogLinearDF_Date(Summary_IRS[[#This Row],[Target Date]], INDEX(Common[Today],1), MarketTable[Jump Date], MarketTable[Solved Forward], INDEX(Common[DayCount Basis],1))</f>
        <v>5.6066876605331495E-2</v>
      </c>
      <c r="H2">
        <f ca="1">Summary_IRS[[#This Row],[NPV Fixed]] - Summary_IRS[[#This Row],[NPV Floating]]</f>
        <v>2.4300006451483114E-13</v>
      </c>
    </row>
    <row r="5" spans="1:8" x14ac:dyDescent="0.3">
      <c r="A5" t="s">
        <v>4</v>
      </c>
      <c r="B5" t="s">
        <v>32</v>
      </c>
      <c r="C5" t="s">
        <v>33</v>
      </c>
      <c r="D5" t="s">
        <v>34</v>
      </c>
      <c r="E5" t="s">
        <v>35</v>
      </c>
      <c r="F5" t="s">
        <v>36</v>
      </c>
    </row>
    <row r="6" spans="1:8" x14ac:dyDescent="0.3">
      <c r="A6">
        <v>1</v>
      </c>
      <c r="B6" s="1">
        <v>46120</v>
      </c>
      <c r="C6">
        <f>CalcYF(INDEX(Common[Today],1), CalcTable_IRS[[#This Row],[Payment Date]], INDEX(Common[DayCount Basis],1))</f>
        <v>0.24657534246575341</v>
      </c>
      <c r="D6">
        <f>INDEX(Summary_IRS[Market Rate],1) * (1 / INDEX(Common[IRS Coupon Freq],1))</f>
        <v>7.2312499999999998E-3</v>
      </c>
      <c r="E6">
        <f ca="1">LogLinearDF_Date(CalcTable_IRS[[#This Row],[Payment Date]], INDEX(Common[Today],1), MarketTable[Jump Date], MarketTable[Solved Forward], INDEX(Common[DayCount Basis],1))</f>
        <v>0.99338649538687651</v>
      </c>
      <c r="F6">
        <f ca="1">CalcTable_IRS[[#This Row],[Expected CashFlow]] * CalcTable_IRS[[#This Row],[DF]]</f>
        <v>7.1834260947663507E-3</v>
      </c>
    </row>
    <row r="7" spans="1:8" x14ac:dyDescent="0.3">
      <c r="A7">
        <v>2</v>
      </c>
      <c r="B7" s="1">
        <v>46211</v>
      </c>
      <c r="C7">
        <f>CalcYF(INDEX(Common[Today],1), CalcTable_IRS[[#This Row],[Payment Date]], INDEX(Common[DayCount Basis],1))</f>
        <v>0.49589041095890413</v>
      </c>
      <c r="D7">
        <f>INDEX(Summary_IRS[Market Rate],1) * (1 / INDEX(Common[IRS Coupon Freq],1))</f>
        <v>7.2312499999999998E-3</v>
      </c>
      <c r="E7">
        <f ca="1">LogLinearDF_Date(CalcTable_IRS[[#This Row],[Payment Date]], INDEX(Common[Today],1), MarketTable[Jump Date], MarketTable[Solved Forward], INDEX(Common[DayCount Basis],1))</f>
        <v>0.98661027186148298</v>
      </c>
      <c r="F7">
        <f ca="1">CalcTable_IRS[[#This Row],[Expected CashFlow]] * CalcTable_IRS[[#This Row],[DF]]</f>
        <v>7.1344255283983483E-3</v>
      </c>
    </row>
    <row r="8" spans="1:8" x14ac:dyDescent="0.3">
      <c r="A8">
        <v>3</v>
      </c>
      <c r="B8" s="1">
        <v>46303</v>
      </c>
      <c r="C8">
        <f>CalcYF(INDEX(Common[Today],1), CalcTable_IRS[[#This Row],[Payment Date]], INDEX(Common[DayCount Basis],1))</f>
        <v>0.74794520547945209</v>
      </c>
      <c r="D8">
        <f>INDEX(Summary_IRS[Market Rate],1) * (1 / INDEX(Common[IRS Coupon Freq],1))</f>
        <v>7.2312499999999998E-3</v>
      </c>
      <c r="E8">
        <f ca="1">LogLinearDF_Date(CalcTable_IRS[[#This Row],[Payment Date]], INDEX(Common[Today],1), MarketTable[Jump Date], MarketTable[Solved Forward], INDEX(Common[DayCount Basis],1))</f>
        <v>0.9799280101035821</v>
      </c>
      <c r="F8">
        <f ca="1">CalcTable_IRS[[#This Row],[Expected CashFlow]] * CalcTable_IRS[[#This Row],[DF]]</f>
        <v>7.0861044230615278E-3</v>
      </c>
    </row>
    <row r="9" spans="1:8" x14ac:dyDescent="0.3">
      <c r="A9">
        <v>4</v>
      </c>
      <c r="B9" s="1">
        <v>46395</v>
      </c>
      <c r="C9">
        <f>CalcYF(INDEX(Common[Today],1), CalcTable_IRS[[#This Row],[Payment Date]], INDEX(Common[DayCount Basis],1))</f>
        <v>1</v>
      </c>
      <c r="D9">
        <f>INDEX(Summary_IRS[Market Rate],1) * (1 / INDEX(Common[IRS Coupon Freq],1))</f>
        <v>7.2312499999999998E-3</v>
      </c>
      <c r="E9">
        <f ca="1">LogLinearDF_Date(CalcTable_IRS[[#This Row],[Payment Date]], INDEX(Common[Today],1), MarketTable[Jump Date], MarketTable[Solved Forward], INDEX(Common[DayCount Basis],1))</f>
        <v>0.97310788914284196</v>
      </c>
      <c r="F9">
        <f ca="1">CalcTable_IRS[[#This Row],[Expected CashFlow]] * CalcTable_IRS[[#This Row],[DF]]</f>
        <v>7.0367864233641759E-3</v>
      </c>
    </row>
    <row r="10" spans="1:8" x14ac:dyDescent="0.3">
      <c r="A10">
        <v>5</v>
      </c>
      <c r="B10" s="1">
        <v>46485</v>
      </c>
      <c r="C10">
        <f>CalcYF(INDEX(Common[Today],1), CalcTable_IRS[[#This Row],[Payment Date]], INDEX(Common[DayCount Basis],1))</f>
        <v>1.2465753424657535</v>
      </c>
      <c r="D10">
        <f>INDEX(Summary_IRS[Market Rate],1) * (1 / INDEX(Common[IRS Coupon Freq],1))</f>
        <v>7.2312499999999998E-3</v>
      </c>
      <c r="E10">
        <f ca="1">LogLinearDF_Date(CalcTable_IRS[[#This Row],[Payment Date]], INDEX(Common[Today],1), MarketTable[Jump Date], MarketTable[Solved Forward], INDEX(Common[DayCount Basis],1))</f>
        <v>0.96605959085511239</v>
      </c>
      <c r="F10">
        <f ca="1">CalcTable_IRS[[#This Row],[Expected CashFlow]] * CalcTable_IRS[[#This Row],[DF]]</f>
        <v>6.9858184163710309E-3</v>
      </c>
    </row>
    <row r="11" spans="1:8" x14ac:dyDescent="0.3">
      <c r="A11">
        <v>6</v>
      </c>
      <c r="B11" s="1">
        <v>46576</v>
      </c>
      <c r="C11">
        <f>CalcYF(INDEX(Common[Today],1), CalcTable_IRS[[#This Row],[Payment Date]], INDEX(Common[DayCount Basis],1))</f>
        <v>1.4958904109589042</v>
      </c>
      <c r="D11">
        <f>INDEX(Summary_IRS[Market Rate],1) * (1 / INDEX(Common[IRS Coupon Freq],1))</f>
        <v>7.2312499999999998E-3</v>
      </c>
      <c r="E11">
        <f ca="1">LogLinearDF_Date(CalcTable_IRS[[#This Row],[Payment Date]], INDEX(Common[Today],1), MarketTable[Jump Date], MarketTable[Solved Forward], INDEX(Common[DayCount Basis],1))</f>
        <v>0.95895704209579757</v>
      </c>
      <c r="F11">
        <f ca="1">CalcTable_IRS[[#This Row],[Expected CashFlow]] * CalcTable_IRS[[#This Row],[DF]]</f>
        <v>6.934458110655236E-3</v>
      </c>
    </row>
    <row r="12" spans="1:8" x14ac:dyDescent="0.3">
      <c r="A12">
        <v>7</v>
      </c>
      <c r="B12" s="1">
        <v>46668</v>
      </c>
      <c r="C12">
        <f>CalcYF(INDEX(Common[Today],1), CalcTable_IRS[[#This Row],[Payment Date]], INDEX(Common[DayCount Basis],1))</f>
        <v>1.747945205479452</v>
      </c>
      <c r="D12">
        <f>INDEX(Summary_IRS[Market Rate],1) * (1 / INDEX(Common[IRS Coupon Freq],1))</f>
        <v>7.2312499999999998E-3</v>
      </c>
      <c r="E12">
        <f ca="1">LogLinearDF_Date(CalcTable_IRS[[#This Row],[Payment Date]], INDEX(Common[Today],1), MarketTable[Jump Date], MarketTable[Solved Forward], INDEX(Common[DayCount Basis],1))</f>
        <v>0.95143180092102086</v>
      </c>
      <c r="F12">
        <f ca="1">CalcTable_IRS[[#This Row],[Expected CashFlow]] * CalcTable_IRS[[#This Row],[DF]]</f>
        <v>6.880041210410132E-3</v>
      </c>
    </row>
    <row r="13" spans="1:8" x14ac:dyDescent="0.3">
      <c r="A13">
        <v>8</v>
      </c>
      <c r="B13" s="1">
        <v>46760</v>
      </c>
      <c r="C13">
        <f>CalcYF(INDEX(Common[Today],1), CalcTable_IRS[[#This Row],[Payment Date]], INDEX(Common[DayCount Basis],1))</f>
        <v>2</v>
      </c>
      <c r="D13">
        <f>INDEX(Summary_IRS[Market Rate],1) * (1 / INDEX(Common[IRS Coupon Freq],1))</f>
        <v>7.2312499999999998E-3</v>
      </c>
      <c r="E13">
        <f ca="1">LogLinearDF_Date(CalcTable_IRS[[#This Row],[Payment Date]], INDEX(Common[Today],1), MarketTable[Jump Date], MarketTable[Solved Forward], INDEX(Common[DayCount Basis],1))</f>
        <v>0.94393312339466851</v>
      </c>
      <c r="F13">
        <f ca="1">CalcTable_IRS[[#This Row],[Expected CashFlow]] * CalcTable_IRS[[#This Row],[DF]]</f>
        <v>6.8258163985476968E-3</v>
      </c>
    </row>
    <row r="14" spans="1:8" x14ac:dyDescent="0.3">
      <c r="A14">
        <v>9</v>
      </c>
      <c r="B14" s="1">
        <v>46851</v>
      </c>
      <c r="C14">
        <f>CalcYF(INDEX(Common[Today],1), CalcTable_IRS[[#This Row],[Payment Date]], INDEX(Common[DayCount Basis],1))</f>
        <v>2.2493150684931509</v>
      </c>
      <c r="D14">
        <f>INDEX(Summary_IRS[Market Rate],1) * (1 / INDEX(Common[IRS Coupon Freq],1))</f>
        <v>7.2312499999999998E-3</v>
      </c>
      <c r="E14">
        <f ca="1">LogLinearDF_Date(CalcTable_IRS[[#This Row],[Payment Date]], INDEX(Common[Today],1), MarketTable[Jump Date], MarketTable[Solved Forward], INDEX(Common[DayCount Basis],1))</f>
        <v>0.93657409536434455</v>
      </c>
      <c r="F14">
        <f ca="1">CalcTable_IRS[[#This Row],[Expected CashFlow]] * CalcTable_IRS[[#This Row],[DF]]</f>
        <v>6.7726014271034165E-3</v>
      </c>
    </row>
    <row r="15" spans="1:8" x14ac:dyDescent="0.3">
      <c r="A15">
        <v>10</v>
      </c>
      <c r="B15" s="1">
        <v>46942</v>
      </c>
      <c r="C15">
        <f>CalcYF(INDEX(Common[Today],1), CalcTable_IRS[[#This Row],[Payment Date]], INDEX(Common[DayCount Basis],1))</f>
        <v>2.4986301369863013</v>
      </c>
      <c r="D15">
        <f>INDEX(Summary_IRS[Market Rate],1) * (1 / INDEX(Common[IRS Coupon Freq],1))</f>
        <v>7.2312499999999998E-3</v>
      </c>
      <c r="E15">
        <f ca="1">LogLinearDF_Date(CalcTable_IRS[[#This Row],[Payment Date]], INDEX(Common[Today],1), MarketTable[Jump Date], MarketTable[Solved Forward], INDEX(Common[DayCount Basis],1))</f>
        <v>0.92927243929418268</v>
      </c>
      <c r="F15">
        <f ca="1">CalcTable_IRS[[#This Row],[Expected CashFlow]] * CalcTable_IRS[[#This Row],[DF]]</f>
        <v>6.7198013266460584E-3</v>
      </c>
    </row>
    <row r="16" spans="1:8" x14ac:dyDescent="0.3">
      <c r="A16">
        <v>11</v>
      </c>
      <c r="B16" s="1">
        <v>47034</v>
      </c>
      <c r="C16">
        <f>CalcYF(INDEX(Common[Today],1), CalcTable_IRS[[#This Row],[Payment Date]], INDEX(Common[DayCount Basis],1))</f>
        <v>2.7506849315068491</v>
      </c>
      <c r="D16">
        <f>INDEX(Summary_IRS[Market Rate],1) * (1 / INDEX(Common[IRS Coupon Freq],1))</f>
        <v>7.2312499999999998E-3</v>
      </c>
      <c r="E16">
        <f ca="1">LogLinearDF_Date(CalcTable_IRS[[#This Row],[Payment Date]], INDEX(Common[Today],1), MarketTable[Jump Date], MarketTable[Solved Forward], INDEX(Common[DayCount Basis],1))</f>
        <v>0.92194841002624328</v>
      </c>
      <c r="F16">
        <f ca="1">CalcTable_IRS[[#This Row],[Expected CashFlow]] * CalcTable_IRS[[#This Row],[DF]]</f>
        <v>6.6668394400022715E-3</v>
      </c>
    </row>
    <row r="17" spans="1:6" x14ac:dyDescent="0.3">
      <c r="A17">
        <v>12</v>
      </c>
      <c r="B17" s="1">
        <v>47126</v>
      </c>
      <c r="C17">
        <f>CalcYF(INDEX(Common[Today],1), CalcTable_IRS[[#This Row],[Payment Date]], INDEX(Common[DayCount Basis],1))</f>
        <v>3.0027397260273974</v>
      </c>
      <c r="D17">
        <f>INDEX(Summary_IRS[Market Rate],1) * (1 / INDEX(Common[IRS Coupon Freq],1))</f>
        <v>7.2312499999999998E-3</v>
      </c>
      <c r="E17">
        <f ca="1">LogLinearDF_Date(CalcTable_IRS[[#This Row],[Payment Date]], INDEX(Common[Today],1), MarketTable[Jump Date], MarketTable[Solved Forward], INDEX(Common[DayCount Basis],1))</f>
        <v>0.91468210484700962</v>
      </c>
      <c r="F17">
        <f ca="1">CalcTable_IRS[[#This Row],[Expected CashFlow]] * CalcTable_IRS[[#This Row],[DF]]</f>
        <v>6.6142949706749386E-3</v>
      </c>
    </row>
    <row r="18" spans="1:6" x14ac:dyDescent="0.3">
      <c r="A18">
        <v>13</v>
      </c>
      <c r="B18" s="1">
        <v>47216</v>
      </c>
      <c r="C18">
        <f>CalcYF(INDEX(Common[Today],1), CalcTable_IRS[[#This Row],[Payment Date]], INDEX(Common[DayCount Basis],1))</f>
        <v>3.2493150684931509</v>
      </c>
      <c r="D18">
        <f>INDEX(Summary_IRS[Market Rate],1) * (1 / INDEX(Common[IRS Coupon Freq],1))</f>
        <v>7.2312499999999998E-3</v>
      </c>
      <c r="E18">
        <f ca="1">LogLinearDF_Date(CalcTable_IRS[[#This Row],[Payment Date]], INDEX(Common[Today],1), MarketTable[Jump Date], MarketTable[Solved Forward], INDEX(Common[DayCount Basis],1))</f>
        <v>0.90762918119387548</v>
      </c>
      <c r="F18">
        <f ca="1">CalcTable_IRS[[#This Row],[Expected CashFlow]] * CalcTable_IRS[[#This Row],[DF]]</f>
        <v>6.5632935165082116E-3</v>
      </c>
    </row>
    <row r="19" spans="1:6" x14ac:dyDescent="0.3">
      <c r="A19">
        <v>14</v>
      </c>
      <c r="B19" s="1">
        <v>47307</v>
      </c>
      <c r="C19">
        <f>CalcYF(INDEX(Common[Today],1), CalcTable_IRS[[#This Row],[Payment Date]], INDEX(Common[DayCount Basis],1))</f>
        <v>3.4986301369863013</v>
      </c>
      <c r="D19">
        <f>INDEX(Summary_IRS[Market Rate],1) * (1 / INDEX(Common[IRS Coupon Freq],1))</f>
        <v>7.2312499999999998E-3</v>
      </c>
      <c r="E19">
        <f ca="1">LogLinearDF_Date(CalcTable_IRS[[#This Row],[Payment Date]], INDEX(Common[Today],1), MarketTable[Jump Date], MarketTable[Solved Forward], INDEX(Common[DayCount Basis],1))</f>
        <v>0.90055318351988245</v>
      </c>
      <c r="F19">
        <f ca="1">CalcTable_IRS[[#This Row],[Expected CashFlow]] * CalcTable_IRS[[#This Row],[DF]]</f>
        <v>6.5121252083281496E-3</v>
      </c>
    </row>
    <row r="20" spans="1:6" x14ac:dyDescent="0.3">
      <c r="A20">
        <v>15</v>
      </c>
      <c r="B20" s="1">
        <v>47399</v>
      </c>
      <c r="C20">
        <f>CalcYF(INDEX(Common[Today],1), CalcTable_IRS[[#This Row],[Payment Date]], INDEX(Common[DayCount Basis],1))</f>
        <v>3.7506849315068491</v>
      </c>
      <c r="D20">
        <f>INDEX(Summary_IRS[Market Rate],1) * (1 / INDEX(Common[IRS Coupon Freq],1))</f>
        <v>7.2312499999999998E-3</v>
      </c>
      <c r="E20">
        <f ca="1">LogLinearDF_Date(CalcTable_IRS[[#This Row],[Payment Date]], INDEX(Common[Today],1), MarketTable[Jump Date], MarketTable[Solved Forward], INDEX(Common[DayCount Basis],1))</f>
        <v>0.89345550409398089</v>
      </c>
      <c r="F20">
        <f ca="1">CalcTable_IRS[[#This Row],[Expected CashFlow]] * CalcTable_IRS[[#This Row],[DF]]</f>
        <v>6.4608001139795992E-3</v>
      </c>
    </row>
    <row r="21" spans="1:6" x14ac:dyDescent="0.3">
      <c r="A21">
        <v>16</v>
      </c>
      <c r="B21" s="1">
        <v>47491</v>
      </c>
      <c r="C21">
        <f>CalcYF(INDEX(Common[Today],1), CalcTable_IRS[[#This Row],[Payment Date]], INDEX(Common[DayCount Basis],1))</f>
        <v>4.0027397260273974</v>
      </c>
      <c r="D21">
        <f>INDEX(Summary_IRS[Market Rate],1) * (1 / INDEX(Common[IRS Coupon Freq],1))</f>
        <v>7.2312499999999998E-3</v>
      </c>
      <c r="E21">
        <f ca="1">LogLinearDF_Date(CalcTable_IRS[[#This Row],[Payment Date]], INDEX(Common[Today],1), MarketTable[Jump Date], MarketTable[Solved Forward], INDEX(Common[DayCount Basis],1))</f>
        <v>0.88641376478816858</v>
      </c>
      <c r="F21">
        <f ca="1">CalcTable_IRS[[#This Row],[Expected CashFlow]] * CalcTable_IRS[[#This Row],[DF]]</f>
        <v>6.4098795366244439E-3</v>
      </c>
    </row>
    <row r="22" spans="1:6" x14ac:dyDescent="0.3">
      <c r="A22">
        <v>17</v>
      </c>
      <c r="B22" s="1">
        <v>47581</v>
      </c>
      <c r="C22">
        <f>CalcYF(INDEX(Common[Today],1), CalcTable_IRS[[#This Row],[Payment Date]], INDEX(Common[DayCount Basis],1))</f>
        <v>4.2493150684931509</v>
      </c>
      <c r="D22">
        <f>INDEX(Summary_IRS[Market Rate],1) * (1 / INDEX(Common[IRS Coupon Freq],1))</f>
        <v>7.2312499999999998E-3</v>
      </c>
      <c r="E22">
        <f ca="1">LogLinearDF_Date(CalcTable_IRS[[#This Row],[Payment Date]], INDEX(Common[Today],1), MarketTable[Jump Date], MarketTable[Solved Forward], INDEX(Common[DayCount Basis],1))</f>
        <v>0.8795788124314875</v>
      </c>
      <c r="F22">
        <f ca="1">CalcTable_IRS[[#This Row],[Expected CashFlow]] * CalcTable_IRS[[#This Row],[DF]]</f>
        <v>6.3604542873951942E-3</v>
      </c>
    </row>
    <row r="23" spans="1:6" x14ac:dyDescent="0.3">
      <c r="A23">
        <v>18</v>
      </c>
      <c r="B23" s="1">
        <v>47672</v>
      </c>
      <c r="C23">
        <f>CalcYF(INDEX(Common[Today],1), CalcTable_IRS[[#This Row],[Payment Date]], INDEX(Common[DayCount Basis],1))</f>
        <v>4.4986301369863018</v>
      </c>
      <c r="D23">
        <f>INDEX(Summary_IRS[Market Rate],1) * (1 / INDEX(Common[IRS Coupon Freq],1))</f>
        <v>7.2312499999999998E-3</v>
      </c>
      <c r="E23">
        <f ca="1">LogLinearDF_Date(CalcTable_IRS[[#This Row],[Payment Date]], INDEX(Common[Today],1), MarketTable[Jump Date], MarketTable[Solved Forward], INDEX(Common[DayCount Basis],1))</f>
        <v>0.87272149915882247</v>
      </c>
      <c r="F23">
        <f ca="1">CalcTable_IRS[[#This Row],[Expected CashFlow]] * CalcTable_IRS[[#This Row],[DF]]</f>
        <v>6.3108673407922351E-3</v>
      </c>
    </row>
    <row r="24" spans="1:6" x14ac:dyDescent="0.3">
      <c r="A24">
        <v>19</v>
      </c>
      <c r="B24" s="1">
        <v>47764</v>
      </c>
      <c r="C24">
        <f>CalcYF(INDEX(Common[Today],1), CalcTable_IRS[[#This Row],[Payment Date]], INDEX(Common[DayCount Basis],1))</f>
        <v>4.7506849315068491</v>
      </c>
      <c r="D24">
        <f>INDEX(Summary_IRS[Market Rate],1) * (1 / INDEX(Common[IRS Coupon Freq],1))</f>
        <v>7.2312499999999998E-3</v>
      </c>
      <c r="E24">
        <f ca="1">LogLinearDF_Date(CalcTable_IRS[[#This Row],[Payment Date]], INDEX(Common[Today],1), MarketTable[Jump Date], MarketTable[Solved Forward], INDEX(Common[DayCount Basis],1))</f>
        <v>0.86584317421091594</v>
      </c>
      <c r="F24">
        <f ca="1">CalcTable_IRS[[#This Row],[Expected CashFlow]] * CalcTable_IRS[[#This Row],[DF]]</f>
        <v>6.2611284535126861E-3</v>
      </c>
    </row>
    <row r="25" spans="1:6" x14ac:dyDescent="0.3">
      <c r="A25">
        <v>20</v>
      </c>
      <c r="B25" s="1">
        <v>47856</v>
      </c>
      <c r="C25">
        <f>CalcYF(INDEX(Common[Today],1), CalcTable_IRS[[#This Row],[Payment Date]], INDEX(Common[DayCount Basis],1))</f>
        <v>5.0027397260273974</v>
      </c>
      <c r="D25">
        <f>INDEX(Summary_IRS[Market Rate],1) * (1 / INDEX(Common[IRS Coupon Freq],1))</f>
        <v>7.2312499999999998E-3</v>
      </c>
      <c r="E25">
        <f ca="1">LogLinearDF_Date(CalcTable_IRS[[#This Row],[Payment Date]], INDEX(Common[Today],1), MarketTable[Jump Date], MarketTable[Solved Forward], INDEX(Common[DayCount Basis],1))</f>
        <v>0.85901906054820698</v>
      </c>
      <c r="F25">
        <f ca="1">CalcTable_IRS[[#This Row],[Expected CashFlow]] * CalcTable_IRS[[#This Row],[DF]]</f>
        <v>6.2117815815892216E-3</v>
      </c>
    </row>
    <row r="26" spans="1:6" x14ac:dyDescent="0.3">
      <c r="A26">
        <v>21</v>
      </c>
      <c r="B26" s="1">
        <v>47946</v>
      </c>
      <c r="C26">
        <f>CalcYF(INDEX(Common[Today],1), CalcTable_IRS[[#This Row],[Payment Date]], INDEX(Common[DayCount Basis],1))</f>
        <v>5.2493150684931509</v>
      </c>
      <c r="D26">
        <f>INDEX(Summary_IRS[Market Rate],1) * (1 / INDEX(Common[IRS Coupon Freq],1))</f>
        <v>7.2312499999999998E-3</v>
      </c>
      <c r="E26">
        <f ca="1">LogLinearDF_Date(CalcTable_IRS[[#This Row],[Payment Date]], INDEX(Common[Today],1), MarketTable[Jump Date], MarketTable[Solved Forward], INDEX(Common[DayCount Basis],1))</f>
        <v>0.8523953430637079</v>
      </c>
      <c r="F26">
        <f ca="1">CalcTable_IRS[[#This Row],[Expected CashFlow]] * CalcTable_IRS[[#This Row],[DF]]</f>
        <v>6.163883824529438E-3</v>
      </c>
    </row>
    <row r="27" spans="1:6" x14ac:dyDescent="0.3">
      <c r="A27">
        <v>22</v>
      </c>
      <c r="B27" s="1">
        <v>48037</v>
      </c>
      <c r="C27">
        <f>CalcYF(INDEX(Common[Today],1), CalcTable_IRS[[#This Row],[Payment Date]], INDEX(Common[DayCount Basis],1))</f>
        <v>5.4986301369863018</v>
      </c>
      <c r="D27">
        <f>INDEX(Summary_IRS[Market Rate],1) * (1 / INDEX(Common[IRS Coupon Freq],1))</f>
        <v>7.2312499999999998E-3</v>
      </c>
      <c r="E27">
        <f ca="1">LogLinearDF_Date(CalcTable_IRS[[#This Row],[Payment Date]], INDEX(Common[Today],1), MarketTable[Jump Date], MarketTable[Solved Forward], INDEX(Common[DayCount Basis],1))</f>
        <v>0.84574995572952416</v>
      </c>
      <c r="F27">
        <f ca="1">CalcTable_IRS[[#This Row],[Expected CashFlow]] * CalcTable_IRS[[#This Row],[DF]]</f>
        <v>6.1158293673691218E-3</v>
      </c>
    </row>
    <row r="28" spans="1:6" x14ac:dyDescent="0.3">
      <c r="A28">
        <v>23</v>
      </c>
      <c r="B28" s="1">
        <v>48129</v>
      </c>
      <c r="C28">
        <f>CalcYF(INDEX(Common[Today],1), CalcTable_IRS[[#This Row],[Payment Date]], INDEX(Common[DayCount Basis],1))</f>
        <v>5.7506849315068491</v>
      </c>
      <c r="D28">
        <f>INDEX(Summary_IRS[Market Rate],1) * (1 / INDEX(Common[IRS Coupon Freq],1))</f>
        <v>7.2312499999999998E-3</v>
      </c>
      <c r="E28">
        <f ca="1">LogLinearDF_Date(CalcTable_IRS[[#This Row],[Payment Date]], INDEX(Common[Today],1), MarketTable[Jump Date], MarketTable[Solved Forward], INDEX(Common[DayCount Basis],1))</f>
        <v>0.83908420608798062</v>
      </c>
      <c r="F28">
        <f ca="1">CalcTable_IRS[[#This Row],[Expected CashFlow]] * CalcTable_IRS[[#This Row],[DF]]</f>
        <v>6.0676276652737093E-3</v>
      </c>
    </row>
    <row r="29" spans="1:6" x14ac:dyDescent="0.3">
      <c r="A29">
        <v>24</v>
      </c>
      <c r="B29" s="1">
        <v>48221</v>
      </c>
      <c r="C29">
        <f>CalcYF(INDEX(Common[Today],1), CalcTable_IRS[[#This Row],[Payment Date]], INDEX(Common[DayCount Basis],1))</f>
        <v>6.0027397260273974</v>
      </c>
      <c r="D29">
        <f>INDEX(Summary_IRS[Market Rate],1) * (1 / INDEX(Common[IRS Coupon Freq],1))</f>
        <v>7.2312499999999998E-3</v>
      </c>
      <c r="E29">
        <f ca="1">LogLinearDF_Date(CalcTable_IRS[[#This Row],[Payment Date]], INDEX(Common[Today],1), MarketTable[Jump Date], MarketTable[Solved Forward], INDEX(Common[DayCount Basis],1))</f>
        <v>0.83247099232655475</v>
      </c>
      <c r="F29">
        <f ca="1">CalcTable_IRS[[#This Row],[Expected CashFlow]] * CalcTable_IRS[[#This Row],[DF]]</f>
        <v>6.0198058632613986E-3</v>
      </c>
    </row>
    <row r="30" spans="1:6" x14ac:dyDescent="0.3">
      <c r="A30">
        <v>25</v>
      </c>
      <c r="B30" s="1">
        <v>48312</v>
      </c>
      <c r="C30">
        <f>CalcYF(INDEX(Common[Today],1), CalcTable_IRS[[#This Row],[Payment Date]], INDEX(Common[DayCount Basis],1))</f>
        <v>6.2520547945205482</v>
      </c>
      <c r="D30">
        <f>INDEX(Summary_IRS[Market Rate],1) * (1 / INDEX(Common[IRS Coupon Freq],1))</f>
        <v>7.2312499999999998E-3</v>
      </c>
      <c r="E30">
        <f ca="1">LogLinearDF_Date(CalcTable_IRS[[#This Row],[Payment Date]], INDEX(Common[Today],1), MarketTable[Jump Date], MarketTable[Solved Forward], INDEX(Common[DayCount Basis],1))</f>
        <v>0.82598093787764304</v>
      </c>
      <c r="F30">
        <f ca="1">CalcTable_IRS[[#This Row],[Expected CashFlow]] * CalcTable_IRS[[#This Row],[DF]]</f>
        <v>5.9728746570277061E-3</v>
      </c>
    </row>
    <row r="31" spans="1:6" x14ac:dyDescent="0.3">
      <c r="A31">
        <v>26</v>
      </c>
      <c r="B31" s="1">
        <v>48403</v>
      </c>
      <c r="C31">
        <f>CalcYF(INDEX(Common[Today],1), CalcTable_IRS[[#This Row],[Payment Date]], INDEX(Common[DayCount Basis],1))</f>
        <v>6.5013698630136982</v>
      </c>
      <c r="D31">
        <f>INDEX(Summary_IRS[Market Rate],1) * (1 / INDEX(Common[IRS Coupon Freq],1))</f>
        <v>7.2312499999999998E-3</v>
      </c>
      <c r="E31">
        <f ca="1">LogLinearDF_Date(CalcTable_IRS[[#This Row],[Payment Date]], INDEX(Common[Today],1), MarketTable[Jump Date], MarketTable[Solved Forward], INDEX(Common[DayCount Basis],1))</f>
        <v>0.81954148075541067</v>
      </c>
      <c r="F31">
        <f ca="1">CalcTable_IRS[[#This Row],[Expected CashFlow]] * CalcTable_IRS[[#This Row],[DF]]</f>
        <v>5.9263093327125635E-3</v>
      </c>
    </row>
    <row r="32" spans="1:6" x14ac:dyDescent="0.3">
      <c r="A32">
        <v>27</v>
      </c>
      <c r="B32" s="1">
        <v>48495</v>
      </c>
      <c r="C32">
        <f>CalcYF(INDEX(Common[Today],1), CalcTable_IRS[[#This Row],[Payment Date]], INDEX(Common[DayCount Basis],1))</f>
        <v>6.7534246575342465</v>
      </c>
      <c r="D32">
        <f>INDEX(Summary_IRS[Market Rate],1) * (1 / INDEX(Common[IRS Coupon Freq],1))</f>
        <v>7.2312499999999998E-3</v>
      </c>
      <c r="E32">
        <f ca="1">LogLinearDF_Date(CalcTable_IRS[[#This Row],[Payment Date]], INDEX(Common[Today],1), MarketTable[Jump Date], MarketTable[Solved Forward], INDEX(Common[DayCount Basis],1))</f>
        <v>0.81308229232203577</v>
      </c>
      <c r="F32">
        <f ca="1">CalcTable_IRS[[#This Row],[Expected CashFlow]] * CalcTable_IRS[[#This Row],[DF]]</f>
        <v>5.8796013263537209E-3</v>
      </c>
    </row>
    <row r="33" spans="1:6" x14ac:dyDescent="0.3">
      <c r="A33">
        <v>28</v>
      </c>
      <c r="B33" s="1">
        <v>48587</v>
      </c>
      <c r="C33">
        <f>CalcYF(INDEX(Common[Today],1), CalcTable_IRS[[#This Row],[Payment Date]], INDEX(Common[DayCount Basis],1))</f>
        <v>7.0054794520547947</v>
      </c>
      <c r="D33">
        <f>INDEX(Summary_IRS[Market Rate],1) * (1 / INDEX(Common[IRS Coupon Freq],1))</f>
        <v>7.2312499999999998E-3</v>
      </c>
      <c r="E33">
        <f ca="1">LogLinearDF_Date(CalcTable_IRS[[#This Row],[Payment Date]], INDEX(Common[Today],1), MarketTable[Jump Date], MarketTable[Solved Forward], INDEX(Common[DayCount Basis],1))</f>
        <v>0.80667401176360987</v>
      </c>
      <c r="F33">
        <f ca="1">CalcTable_IRS[[#This Row],[Expected CashFlow]] * CalcTable_IRS[[#This Row],[DF]]</f>
        <v>5.8332614475656037E-3</v>
      </c>
    </row>
    <row r="34" spans="1:6" x14ac:dyDescent="0.3">
      <c r="A34">
        <v>29</v>
      </c>
      <c r="B34" s="1">
        <v>48677</v>
      </c>
      <c r="C34">
        <f>CalcYF(INDEX(Common[Today],1), CalcTable_IRS[[#This Row],[Payment Date]], INDEX(Common[DayCount Basis],1))</f>
        <v>7.2520547945205482</v>
      </c>
      <c r="D34">
        <f>INDEX(Summary_IRS[Market Rate],1) * (1 / INDEX(Common[IRS Coupon Freq],1))</f>
        <v>7.2312499999999998E-3</v>
      </c>
      <c r="E34">
        <f ca="1">LogLinearDF_Date(CalcTable_IRS[[#This Row],[Payment Date]], INDEX(Common[Today],1), MarketTable[Jump Date], MarketTable[Solved Forward], INDEX(Common[DayCount Basis],1))</f>
        <v>0.80045391607376615</v>
      </c>
      <c r="F34">
        <f ca="1">CalcTable_IRS[[#This Row],[Expected CashFlow]] * CalcTable_IRS[[#This Row],[DF]]</f>
        <v>5.7882823806084211E-3</v>
      </c>
    </row>
    <row r="35" spans="1:6" x14ac:dyDescent="0.3">
      <c r="A35">
        <v>30</v>
      </c>
      <c r="B35" s="1">
        <v>48768</v>
      </c>
      <c r="C35">
        <f>CalcYF(INDEX(Common[Today],1), CalcTable_IRS[[#This Row],[Payment Date]], INDEX(Common[DayCount Basis],1))</f>
        <v>7.5013698630136982</v>
      </c>
      <c r="D35">
        <f>INDEX(Summary_IRS[Market Rate],1) * (1 / INDEX(Common[IRS Coupon Freq],1))</f>
        <v>7.2312499999999998E-3</v>
      </c>
      <c r="E35">
        <f ca="1">LogLinearDF_Date(CalcTable_IRS[[#This Row],[Payment Date]], INDEX(Common[Today],1), MarketTable[Jump Date], MarketTable[Solved Forward], INDEX(Common[DayCount Basis],1))</f>
        <v>0.79421347100474982</v>
      </c>
      <c r="F35">
        <f ca="1">CalcTable_IRS[[#This Row],[Expected CashFlow]] * CalcTable_IRS[[#This Row],[DF]]</f>
        <v>5.7431561622030966E-3</v>
      </c>
    </row>
    <row r="36" spans="1:6" x14ac:dyDescent="0.3">
      <c r="A36">
        <v>31</v>
      </c>
      <c r="B36" s="1">
        <v>48860</v>
      </c>
      <c r="C36">
        <f>CalcYF(INDEX(Common[Today],1), CalcTable_IRS[[#This Row],[Payment Date]], INDEX(Common[DayCount Basis],1))</f>
        <v>7.7534246575342465</v>
      </c>
      <c r="D36">
        <f>INDEX(Summary_IRS[Market Rate],1) * (1 / INDEX(Common[IRS Coupon Freq],1))</f>
        <v>7.2312499999999998E-3</v>
      </c>
      <c r="E36">
        <f ca="1">LogLinearDF_Date(CalcTable_IRS[[#This Row],[Payment Date]], INDEX(Common[Today],1), MarketTable[Jump Date], MarketTable[Solved Forward], INDEX(Common[DayCount Basis],1))</f>
        <v>0.78795390442269486</v>
      </c>
      <c r="F36">
        <f ca="1">CalcTable_IRS[[#This Row],[Expected CashFlow]] * CalcTable_IRS[[#This Row],[DF]]</f>
        <v>5.6978916713566119E-3</v>
      </c>
    </row>
    <row r="37" spans="1:6" x14ac:dyDescent="0.3">
      <c r="A37">
        <v>32</v>
      </c>
      <c r="B37" s="1">
        <v>48952</v>
      </c>
      <c r="C37">
        <f>CalcYF(INDEX(Common[Today],1), CalcTable_IRS[[#This Row],[Payment Date]], INDEX(Common[DayCount Basis],1))</f>
        <v>8.0054794520547947</v>
      </c>
      <c r="D37">
        <f>INDEX(Summary_IRS[Market Rate],1) * (1 / INDEX(Common[IRS Coupon Freq],1))</f>
        <v>7.2312499999999998E-3</v>
      </c>
      <c r="E37">
        <f ca="1">LogLinearDF_Date(CalcTable_IRS[[#This Row],[Payment Date]], INDEX(Common[Today],1), MarketTable[Jump Date], MarketTable[Solved Forward], INDEX(Common[DayCount Basis],1))</f>
        <v>0.78174367240272635</v>
      </c>
      <c r="F37">
        <f ca="1">CalcTable_IRS[[#This Row],[Expected CashFlow]] * CalcTable_IRS[[#This Row],[DF]]</f>
        <v>5.6529839310622146E-3</v>
      </c>
    </row>
    <row r="38" spans="1:6" x14ac:dyDescent="0.3">
      <c r="A38">
        <v>33</v>
      </c>
      <c r="B38" s="1">
        <v>49042</v>
      </c>
      <c r="C38">
        <f>CalcYF(INDEX(Common[Today],1), CalcTable_IRS[[#This Row],[Payment Date]], INDEX(Common[DayCount Basis],1))</f>
        <v>8.2520547945205482</v>
      </c>
      <c r="D38">
        <f>INDEX(Summary_IRS[Market Rate],1) * (1 / INDEX(Common[IRS Coupon Freq],1))</f>
        <v>7.2312499999999998E-3</v>
      </c>
      <c r="E38">
        <f ca="1">LogLinearDF_Date(CalcTable_IRS[[#This Row],[Payment Date]], INDEX(Common[Today],1), MarketTable[Jump Date], MarketTable[Solved Forward], INDEX(Common[DayCount Basis],1))</f>
        <v>0.77571580937954054</v>
      </c>
      <c r="F38">
        <f ca="1">CalcTable_IRS[[#This Row],[Expected CashFlow]] * CalcTable_IRS[[#This Row],[DF]]</f>
        <v>5.6093949465758023E-3</v>
      </c>
    </row>
    <row r="39" spans="1:6" x14ac:dyDescent="0.3">
      <c r="A39">
        <v>34</v>
      </c>
      <c r="B39" s="1">
        <v>49133</v>
      </c>
      <c r="C39">
        <f>CalcYF(INDEX(Common[Today],1), CalcTable_IRS[[#This Row],[Payment Date]], INDEX(Common[DayCount Basis],1))</f>
        <v>8.5013698630136982</v>
      </c>
      <c r="D39">
        <f>INDEX(Summary_IRS[Market Rate],1) * (1 / INDEX(Common[IRS Coupon Freq],1))</f>
        <v>7.2312499999999998E-3</v>
      </c>
      <c r="E39">
        <f ca="1">LogLinearDF_Date(CalcTable_IRS[[#This Row],[Payment Date]], INDEX(Common[Today],1), MarketTable[Jump Date], MarketTable[Solved Forward], INDEX(Common[DayCount Basis],1))</f>
        <v>0.769668225876739</v>
      </c>
      <c r="F39">
        <f ca="1">CalcTable_IRS[[#This Row],[Expected CashFlow]] * CalcTable_IRS[[#This Row],[DF]]</f>
        <v>5.5656633583711689E-3</v>
      </c>
    </row>
    <row r="40" spans="1:6" x14ac:dyDescent="0.3">
      <c r="A40">
        <v>35</v>
      </c>
      <c r="B40" s="1">
        <v>49225</v>
      </c>
      <c r="C40">
        <f>CalcYF(INDEX(Common[Today],1), CalcTable_IRS[[#This Row],[Payment Date]], INDEX(Common[DayCount Basis],1))</f>
        <v>8.7534246575342465</v>
      </c>
      <c r="D40">
        <f>INDEX(Summary_IRS[Market Rate],1) * (1 / INDEX(Common[IRS Coupon Freq],1))</f>
        <v>7.2312499999999998E-3</v>
      </c>
      <c r="E40">
        <f ca="1">LogLinearDF_Date(CalcTable_IRS[[#This Row],[Payment Date]], INDEX(Common[Today],1), MarketTable[Jump Date], MarketTable[Solved Forward], INDEX(Common[DayCount Basis],1))</f>
        <v>0.76360211181313264</v>
      </c>
      <c r="F40">
        <f ca="1">CalcTable_IRS[[#This Row],[Expected CashFlow]] * CalcTable_IRS[[#This Row],[DF]]</f>
        <v>5.5217977710487155E-3</v>
      </c>
    </row>
    <row r="41" spans="1:6" x14ac:dyDescent="0.3">
      <c r="A41">
        <v>36</v>
      </c>
      <c r="B41" s="1">
        <v>49317</v>
      </c>
      <c r="C41">
        <f>CalcYF(INDEX(Common[Today],1), CalcTable_IRS[[#This Row],[Payment Date]], INDEX(Common[DayCount Basis],1))</f>
        <v>9.0054794520547947</v>
      </c>
      <c r="D41">
        <f>INDEX(Summary_IRS[Market Rate],1) * (1 / INDEX(Common[IRS Coupon Freq],1))</f>
        <v>7.2312499999999998E-3</v>
      </c>
      <c r="E41">
        <f ca="1">LogLinearDF_Date(CalcTable_IRS[[#This Row],[Payment Date]], INDEX(Common[Today],1), MarketTable[Jump Date], MarketTable[Solved Forward], INDEX(Common[DayCount Basis],1))</f>
        <v>0.75758380762213828</v>
      </c>
      <c r="F41">
        <f ca="1">CalcTable_IRS[[#This Row],[Expected CashFlow]] * CalcTable_IRS[[#This Row],[DF]]</f>
        <v>5.4782779088675872E-3</v>
      </c>
    </row>
    <row r="42" spans="1:6" x14ac:dyDescent="0.3">
      <c r="A42">
        <v>37</v>
      </c>
      <c r="B42" s="1">
        <v>49407</v>
      </c>
      <c r="C42">
        <f>CalcYF(INDEX(Common[Today],1), CalcTable_IRS[[#This Row],[Payment Date]], INDEX(Common[DayCount Basis],1))</f>
        <v>9.2520547945205482</v>
      </c>
      <c r="D42">
        <f>INDEX(Summary_IRS[Market Rate],1) * (1 / INDEX(Common[IRS Coupon Freq],1))</f>
        <v>7.2312499999999998E-3</v>
      </c>
      <c r="E42">
        <f ca="1">LogLinearDF_Date(CalcTable_IRS[[#This Row],[Payment Date]], INDEX(Common[Today],1), MarketTable[Jump Date], MarketTable[Solved Forward], INDEX(Common[DayCount Basis],1))</f>
        <v>0.75174223629621484</v>
      </c>
      <c r="F42">
        <f ca="1">CalcTable_IRS[[#This Row],[Expected CashFlow]] * CalcTable_IRS[[#This Row],[DF]]</f>
        <v>5.4360360462170033E-3</v>
      </c>
    </row>
    <row r="43" spans="1:6" x14ac:dyDescent="0.3">
      <c r="A43">
        <v>38</v>
      </c>
      <c r="B43" s="1">
        <v>49498</v>
      </c>
      <c r="C43">
        <f>CalcYF(INDEX(Common[Today],1), CalcTable_IRS[[#This Row],[Payment Date]], INDEX(Common[DayCount Basis],1))</f>
        <v>9.5013698630136982</v>
      </c>
      <c r="D43">
        <f>INDEX(Summary_IRS[Market Rate],1) * (1 / INDEX(Common[IRS Coupon Freq],1))</f>
        <v>7.2312499999999998E-3</v>
      </c>
      <c r="E43">
        <f ca="1">LogLinearDF_Date(CalcTable_IRS[[#This Row],[Payment Date]], INDEX(Common[Today],1), MarketTable[Jump Date], MarketTable[Solved Forward], INDEX(Common[DayCount Basis],1))</f>
        <v>0.74588155395403022</v>
      </c>
      <c r="F43">
        <f ca="1">CalcTable_IRS[[#This Row],[Expected CashFlow]] * CalcTable_IRS[[#This Row],[DF]]</f>
        <v>5.3936559870300807E-3</v>
      </c>
    </row>
    <row r="44" spans="1:6" x14ac:dyDescent="0.3">
      <c r="A44">
        <v>39</v>
      </c>
      <c r="B44" s="1">
        <v>49590</v>
      </c>
      <c r="C44">
        <f>CalcYF(INDEX(Common[Today],1), CalcTable_IRS[[#This Row],[Payment Date]], INDEX(Common[DayCount Basis],1))</f>
        <v>9.7534246575342465</v>
      </c>
      <c r="D44">
        <f>INDEX(Summary_IRS[Market Rate],1) * (1 / INDEX(Common[IRS Coupon Freq],1))</f>
        <v>7.2312499999999998E-3</v>
      </c>
      <c r="E44">
        <f ca="1">LogLinearDF_Date(CalcTable_IRS[[#This Row],[Payment Date]], INDEX(Common[Today],1), MarketTable[Jump Date], MarketTable[Solved Forward], INDEX(Common[DayCount Basis],1))</f>
        <v>0.74000291373983784</v>
      </c>
      <c r="F44">
        <f ca="1">CalcTable_IRS[[#This Row],[Expected CashFlow]] * CalcTable_IRS[[#This Row],[DF]]</f>
        <v>5.3511460699812025E-3</v>
      </c>
    </row>
    <row r="45" spans="1:6" x14ac:dyDescent="0.3">
      <c r="A45">
        <v>40</v>
      </c>
      <c r="B45" s="1">
        <v>49682</v>
      </c>
      <c r="C45">
        <f>CalcYF(INDEX(Common[Today],1), CalcTable_IRS[[#This Row],[Payment Date]], INDEX(Common[DayCount Basis],1))</f>
        <v>10.005479452054795</v>
      </c>
      <c r="D45">
        <f>INDEX(Summary_IRS[Market Rate],1) * (1 / INDEX(Common[IRS Coupon Freq],1))</f>
        <v>7.2312499999999998E-3</v>
      </c>
      <c r="E45">
        <f ca="1">LogLinearDF_Date(CalcTable_IRS[[#This Row],[Payment Date]], INDEX(Common[Today],1), MarketTable[Jump Date], MarketTable[Solved Forward], INDEX(Common[DayCount Basis],1))</f>
        <v>0.73417060582946059</v>
      </c>
      <c r="F45">
        <f ca="1">CalcTable_IRS[[#This Row],[Expected CashFlow]] * CalcTable_IRS[[#This Row],[DF]]</f>
        <v>5.3089711934042865E-3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9207-FD91-4664-803F-D38E0308626A}">
  <sheetPr codeName="Sheet4"/>
  <dimension ref="A1:B16"/>
  <sheetViews>
    <sheetView workbookViewId="0">
      <selection activeCell="G27" sqref="G27"/>
    </sheetView>
  </sheetViews>
  <sheetFormatPr defaultRowHeight="16.5" x14ac:dyDescent="0.3"/>
  <cols>
    <col min="1" max="1" width="49" bestFit="1" customWidth="1"/>
    <col min="2" max="2" width="16.625" bestFit="1" customWidth="1"/>
  </cols>
  <sheetData>
    <row r="1" spans="1:2" x14ac:dyDescent="0.3">
      <c r="A1" t="s">
        <v>39</v>
      </c>
      <c r="B1" s="4">
        <v>46035.678136574075</v>
      </c>
    </row>
    <row r="3" spans="1:2" x14ac:dyDescent="0.3">
      <c r="A3" t="s">
        <v>40</v>
      </c>
    </row>
    <row r="5" spans="1:2" x14ac:dyDescent="0.3">
      <c r="A5" t="s">
        <v>41</v>
      </c>
    </row>
    <row r="6" spans="1:2" x14ac:dyDescent="0.3">
      <c r="A6" t="s">
        <v>42</v>
      </c>
    </row>
    <row r="7" spans="1:2" x14ac:dyDescent="0.3">
      <c r="A7" t="s">
        <v>43</v>
      </c>
    </row>
    <row r="8" spans="1:2" x14ac:dyDescent="0.3">
      <c r="A8" t="s">
        <v>44</v>
      </c>
    </row>
    <row r="10" spans="1:2" x14ac:dyDescent="0.3">
      <c r="A10" t="s">
        <v>45</v>
      </c>
    </row>
    <row r="11" spans="1:2" x14ac:dyDescent="0.3">
      <c r="A11" t="s">
        <v>46</v>
      </c>
    </row>
    <row r="13" spans="1:2" x14ac:dyDescent="0.3">
      <c r="A13" t="s">
        <v>47</v>
      </c>
    </row>
    <row r="14" spans="1:2" x14ac:dyDescent="0.3">
      <c r="A14" t="s">
        <v>48</v>
      </c>
    </row>
    <row r="15" spans="1:2" x14ac:dyDescent="0.3">
      <c r="A15" t="s">
        <v>49</v>
      </c>
    </row>
    <row r="16" spans="1:2" x14ac:dyDescent="0.3">
      <c r="A16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Validation_Deposit</vt:lpstr>
      <vt:lpstr>Validation_IRS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2026-01-13T07:16:29Z</dcterms:created>
  <dcterms:modified xsi:type="dcterms:W3CDTF">2026-01-13T08:44:12Z</dcterms:modified>
</cp:coreProperties>
</file>