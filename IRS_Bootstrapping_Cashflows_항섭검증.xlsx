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git_repository\coding_ai_comparison\"/>
    </mc:Choice>
  </mc:AlternateContent>
  <xr:revisionPtr revIDLastSave="0" documentId="8_{2931F8EA-B15C-4AC7-BE80-205C3512674A}" xr6:coauthVersionLast="47" xr6:coauthVersionMax="47" xr10:uidLastSave="{00000000-0000-0000-0000-000000000000}"/>
  <bookViews>
    <workbookView xWindow="-120" yWindow="-120" windowWidth="29040" windowHeight="15720" activeTab="1" xr2:uid="{73159305-2460-4DA8-AE3E-161C95E4D8E2}"/>
  </bookViews>
  <sheets>
    <sheet name="요약_및_계산로직" sheetId="1" r:id="rId1"/>
    <sheet name="상세_캐쉬플로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H5" i="1"/>
  <c r="H6" i="1"/>
  <c r="H7" i="1"/>
  <c r="H8" i="1"/>
  <c r="H9" i="1"/>
  <c r="H10" i="1"/>
  <c r="F10" i="1"/>
  <c r="F9" i="1"/>
  <c r="F8" i="1"/>
  <c r="F7" i="1"/>
  <c r="F6" i="1"/>
  <c r="G6" i="1" s="1"/>
  <c r="G7" i="1" s="1"/>
  <c r="G8" i="1" s="1"/>
  <c r="G9" i="1" s="1"/>
  <c r="G10" i="1" s="1"/>
  <c r="F5" i="1"/>
  <c r="F16" i="2" a="1"/>
  <c r="F32" i="2" a="1"/>
  <c r="F33" i="2" a="1"/>
  <c r="F31" i="2" a="1"/>
  <c r="F30" i="2" a="1"/>
  <c r="F22" i="2" a="1"/>
  <c r="F15" i="2" a="1"/>
  <c r="F10" i="2" a="1"/>
  <c r="F5" i="2" a="1"/>
  <c r="F16" i="2" l="1"/>
  <c r="G16" i="2" s="1"/>
  <c r="F31" i="2"/>
  <c r="G31" i="2" s="1"/>
  <c r="F33" i="2"/>
  <c r="G33" i="2" s="1"/>
  <c r="F32" i="2"/>
  <c r="G32" i="2" s="1"/>
  <c r="F30" i="2"/>
  <c r="G30" i="2" s="1"/>
  <c r="F22" i="2"/>
  <c r="G22" i="2" s="1"/>
  <c r="F15" i="2"/>
  <c r="G15" i="2" s="1"/>
  <c r="F10" i="2"/>
  <c r="G10" i="2" s="1"/>
  <c r="F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<sst xmlns="http://schemas.openxmlformats.org/spreadsheetml/2006/main" count="59" uniqueCount="30">
  <si>
    <t>KRW IRS Bootstrapping 상세 리포트 (Piecewise Flat Forward)</t>
  </si>
  <si>
    <t>1. 시장 데이터 및 선도금리 결과</t>
  </si>
  <si>
    <t>인스트루먼트</t>
  </si>
  <si>
    <t>만기(년)</t>
  </si>
  <si>
    <t>시장금리</t>
  </si>
  <si>
    <t>Knot(개월)</t>
  </si>
  <si>
    <t>Solved Forward</t>
  </si>
  <si>
    <t>1D Call</t>
  </si>
  <si>
    <t>3M Depo</t>
  </si>
  <si>
    <t>6M IRS</t>
  </si>
  <si>
    <t>9M IRS</t>
  </si>
  <si>
    <t>1Y IRS</t>
  </si>
  <si>
    <t>모든 인스트루먼트 상세 캐쉬플로우 (Cashflow Detail &amp; DCF)</t>
  </si>
  <si>
    <t>[1D Call] 상세 내역</t>
  </si>
  <si>
    <t>No</t>
  </si>
  <si>
    <t>현금흐름일(년)</t>
  </si>
  <si>
    <t>현금흐름액</t>
  </si>
  <si>
    <t>할인계수(DF)</t>
  </si>
  <si>
    <t>할인현금흐름(DCF)</t>
  </si>
  <si>
    <t>Total PV (Should be ~1):</t>
  </si>
  <si>
    <t>[3M Depo] 상세 내역</t>
  </si>
  <si>
    <t>[6M IRS] 상세 내역</t>
  </si>
  <si>
    <t>Fixed Leg PV (Sum):</t>
  </si>
  <si>
    <t>Floating Leg PV (1 - DF_end):</t>
  </si>
  <si>
    <t>[9M IRS] 상세 내역</t>
  </si>
  <si>
    <t>[1Y IRS] 상세 내역</t>
  </si>
  <si>
    <t>knot.yr</t>
    <phoneticPr fontId="3" type="noConversion"/>
  </si>
  <si>
    <t>dcf</t>
    <phoneticPr fontId="3" type="noConversion"/>
  </si>
  <si>
    <t>lnDcf</t>
    <phoneticPr fontId="3" type="noConversion"/>
  </si>
  <si>
    <t>정합성 CHECK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</si>
</sst>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2">
    <dxf>
      <numFmt numFmtId="0" formatCode="General"/>
    </dxf>
    <dxf>
      <fill>
        <patternFill patternType="solid">
          <fgColor indexed="64"/>
          <bgColor rgb="FFC8C8C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CFA23-169D-44AD-AAE5-779AB1FC32FD}" name="nodeInfo" displayName="nodeInfo" ref="A4:H10" totalsRowShown="0" headerRowDxfId="1">
  <autoFilter ref="A4:H10" xr:uid="{2E9CFA23-169D-44AD-AAE5-779AB1FC32FD}"/>
  <tableColumns count="8">
    <tableColumn id="1" xr3:uid="{2768983D-3329-4D6B-B490-353365358400}" name="인스트루먼트"/>
    <tableColumn id="2" xr3:uid="{2442F775-5DB7-4E7A-8CBE-F89FF50FEC4F}" name="만기(년)"/>
    <tableColumn id="3" xr3:uid="{4947633A-5A8E-437A-AE82-C2D324846D83}" name="시장금리"/>
    <tableColumn id="4" xr3:uid="{DB62A06C-4C47-40A8-A78A-52711A45D49F}" name="Knot(개월)"/>
    <tableColumn id="5" xr3:uid="{FC025D28-5B7D-47DC-A615-3D1A40B97849}" name="Solved Forward"/>
    <tableColumn id="6" xr3:uid="{382A9A9E-B4EF-4128-A43D-A83251835C60}" name="knot.yr">
      <calculatedColumnFormula>D5/12</calculatedColumnFormula>
    </tableColumn>
    <tableColumn id="7" xr3:uid="{A0169904-69CB-4D95-87D4-24F3140E25C5}" name="dcf">
      <calculatedColumnFormula>G4*EXP(-E5*(F5-F4))</calculatedColumnFormula>
    </tableColumn>
    <tableColumn id="8" xr3:uid="{0D27ECAF-EBEB-4741-8896-DF27FEF5B07B}" name="lnDcf" dataDxfId="0">
      <calculatedColumnFormula>LN(nodeInfo[[#This Row],[dcf]])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344A-2357-4640-8C66-6C25C69E290D}">
  <sheetPr codeName="Sheet1"/>
  <dimension ref="A1:H10"/>
  <sheetViews>
    <sheetView workbookViewId="0">
      <selection activeCell="H5" sqref="H5"/>
    </sheetView>
  </sheetViews>
  <sheetFormatPr defaultRowHeight="16.5" x14ac:dyDescent="0.3"/>
  <cols>
    <col min="1" max="1" width="77" bestFit="1" customWidth="1"/>
    <col min="2" max="2" width="12.75" bestFit="1" customWidth="1"/>
    <col min="3" max="3" width="10.25" customWidth="1"/>
    <col min="4" max="4" width="12" customWidth="1"/>
    <col min="5" max="5" width="16.375" customWidth="1"/>
  </cols>
  <sheetData>
    <row r="1" spans="1:8" ht="20.25" x14ac:dyDescent="0.3">
      <c r="A1" s="2" t="s">
        <v>0</v>
      </c>
    </row>
    <row r="3" spans="1:8" x14ac:dyDescent="0.3">
      <c r="A3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26</v>
      </c>
      <c r="G4" s="3" t="s">
        <v>27</v>
      </c>
      <c r="H4" s="3" t="s">
        <v>28</v>
      </c>
    </row>
    <row r="5" spans="1:8" x14ac:dyDescent="0.3">
      <c r="D5">
        <v>0</v>
      </c>
      <c r="F5">
        <f>D5/12</f>
        <v>0</v>
      </c>
      <c r="G5">
        <v>1</v>
      </c>
      <c r="H5">
        <f>LN(nodeInfo[[#This Row],[dcf]])</f>
        <v>0</v>
      </c>
    </row>
    <row r="6" spans="1:8" x14ac:dyDescent="0.3">
      <c r="A6" t="s">
        <v>7</v>
      </c>
      <c r="B6">
        <v>2.7397260273972603E-3</v>
      </c>
      <c r="C6">
        <v>3.5000000000000003E-2</v>
      </c>
      <c r="D6">
        <v>2</v>
      </c>
      <c r="E6">
        <v>3.4998322025072276E-2</v>
      </c>
      <c r="F6">
        <f t="shared" ref="F6:F10" si="0">D6/12</f>
        <v>0.16666666666666666</v>
      </c>
      <c r="G6">
        <f>G5*EXP(-E6*(F6-F5))</f>
        <v>0.99418392555709423</v>
      </c>
      <c r="H6">
        <f>LN(nodeInfo[[#This Row],[dcf]])</f>
        <v>-5.8330536708453761E-3</v>
      </c>
    </row>
    <row r="7" spans="1:8" x14ac:dyDescent="0.3">
      <c r="A7" t="s">
        <v>8</v>
      </c>
      <c r="B7">
        <v>0.25</v>
      </c>
      <c r="C7">
        <v>3.5999999999999997E-2</v>
      </c>
      <c r="D7">
        <v>5</v>
      </c>
      <c r="E7">
        <v>3.7520252407516802E-2</v>
      </c>
      <c r="F7">
        <f t="shared" si="0"/>
        <v>0.41666666666666669</v>
      </c>
      <c r="G7">
        <f t="shared" ref="G7:G10" si="1">G6*EXP(-E7*(F7-F6))</f>
        <v>0.98490201809541367</v>
      </c>
      <c r="H7">
        <f>LN(nodeInfo[[#This Row],[dcf]])</f>
        <v>-1.5213116772724567E-2</v>
      </c>
    </row>
    <row r="8" spans="1:8" x14ac:dyDescent="0.3">
      <c r="A8" t="s">
        <v>9</v>
      </c>
      <c r="B8">
        <v>0.5</v>
      </c>
      <c r="C8">
        <v>3.6999999999999998E-2</v>
      </c>
      <c r="D8">
        <v>7</v>
      </c>
      <c r="E8">
        <v>3.8449639258437071E-2</v>
      </c>
      <c r="F8">
        <f t="shared" si="0"/>
        <v>0.58333333333333337</v>
      </c>
      <c r="G8">
        <f t="shared" si="1"/>
        <v>0.97861067672579649</v>
      </c>
      <c r="H8">
        <f>LN(nodeInfo[[#This Row],[dcf]])</f>
        <v>-2.1621389982464073E-2</v>
      </c>
    </row>
    <row r="9" spans="1:8" x14ac:dyDescent="0.3">
      <c r="A9" t="s">
        <v>10</v>
      </c>
      <c r="B9">
        <v>0.75</v>
      </c>
      <c r="C9">
        <v>3.7999999999999999E-2</v>
      </c>
      <c r="D9">
        <v>10</v>
      </c>
      <c r="E9">
        <v>4.0521143956091403E-2</v>
      </c>
      <c r="F9">
        <f t="shared" si="0"/>
        <v>0.83333333333333337</v>
      </c>
      <c r="G9">
        <f t="shared" si="1"/>
        <v>0.96874711539916636</v>
      </c>
      <c r="H9">
        <f>LN(nodeInfo[[#This Row],[dcf]])</f>
        <v>-3.1751675971486953E-2</v>
      </c>
    </row>
    <row r="10" spans="1:8" x14ac:dyDescent="0.3">
      <c r="A10" t="s">
        <v>11</v>
      </c>
      <c r="B10">
        <v>1</v>
      </c>
      <c r="C10">
        <v>3.9E-2</v>
      </c>
      <c r="D10">
        <v>13</v>
      </c>
      <c r="E10">
        <v>4.2502221051720405E-2</v>
      </c>
      <c r="F10">
        <f t="shared" si="0"/>
        <v>1.0833333333333333</v>
      </c>
      <c r="G10">
        <f t="shared" si="1"/>
        <v>0.95850813315815286</v>
      </c>
      <c r="H10">
        <f>LN(nodeInfo[[#This Row],[dcf]])</f>
        <v>-4.2377231234417077E-2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880D5-EA2C-4FBA-AAB3-5E4984D8867E}">
  <sheetPr codeName="Sheet2"/>
  <dimension ref="A1:G35"/>
  <sheetViews>
    <sheetView tabSelected="1" workbookViewId="0">
      <selection activeCell="F16" sqref="F16:G16"/>
    </sheetView>
  </sheetViews>
  <sheetFormatPr defaultRowHeight="16.5" x14ac:dyDescent="0.3"/>
  <cols>
    <col min="1" max="1" width="74.75" bestFit="1" customWidth="1"/>
    <col min="2" max="2" width="14.375" bestFit="1" customWidth="1"/>
    <col min="3" max="3" width="11.625" bestFit="1" customWidth="1"/>
    <col min="4" max="4" width="28.25" bestFit="1" customWidth="1"/>
    <col min="5" max="5" width="18.375" bestFit="1" customWidth="1"/>
    <col min="6" max="6" width="14" bestFit="1" customWidth="1"/>
  </cols>
  <sheetData>
    <row r="1" spans="1:7" ht="20.25" x14ac:dyDescent="0.3">
      <c r="A1" s="2" t="s">
        <v>12</v>
      </c>
    </row>
    <row r="3" spans="1:7" x14ac:dyDescent="0.3">
      <c r="A3" s="1" t="s">
        <v>13</v>
      </c>
    </row>
    <row r="4" spans="1:7" x14ac:dyDescent="0.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G4" s="4" t="s">
        <v>29</v>
      </c>
    </row>
    <row r="5" spans="1:7" x14ac:dyDescent="0.3">
      <c r="A5">
        <v>1</v>
      </c>
      <c r="B5">
        <v>2.7397260273972603E-3</v>
      </c>
      <c r="C5">
        <v>1.0000958904109589</v>
      </c>
      <c r="D5">
        <v>0.99990411878313035</v>
      </c>
      <c r="E5">
        <v>1</v>
      </c>
      <c r="F5" cm="1">
        <f t="array" ref="F5">EXP(xlLinearInt(nodeInfo[knot.yr],nodeInfo[lnDcf],상세_캐쉬플로우!B5))</f>
        <v>0.99990411878313035</v>
      </c>
      <c r="G5">
        <f>D5-F5</f>
        <v>0</v>
      </c>
    </row>
    <row r="6" spans="1:7" x14ac:dyDescent="0.3">
      <c r="D6" t="s">
        <v>19</v>
      </c>
      <c r="E6">
        <v>1</v>
      </c>
    </row>
    <row r="8" spans="1:7" x14ac:dyDescent="0.3">
      <c r="A8" s="1" t="s">
        <v>20</v>
      </c>
    </row>
    <row r="9" spans="1:7" x14ac:dyDescent="0.3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G9" s="4" t="s">
        <v>29</v>
      </c>
    </row>
    <row r="10" spans="1:7" x14ac:dyDescent="0.3">
      <c r="A10">
        <v>1</v>
      </c>
      <c r="B10">
        <v>0.25</v>
      </c>
      <c r="C10">
        <v>1.0089999999999999</v>
      </c>
      <c r="D10">
        <v>0.99108027750247785</v>
      </c>
      <c r="E10">
        <v>1</v>
      </c>
      <c r="F10" cm="1">
        <f t="array" ref="F10">EXP(xlLinearInt(nodeInfo[knot.yr],nodeInfo[lnDcf],상세_캐쉬플로우!B10))</f>
        <v>0.99108027750247785</v>
      </c>
      <c r="G10">
        <f>D10-F10</f>
        <v>0</v>
      </c>
    </row>
    <row r="11" spans="1:7" x14ac:dyDescent="0.3">
      <c r="D11" t="s">
        <v>19</v>
      </c>
      <c r="E11">
        <v>1</v>
      </c>
    </row>
    <row r="13" spans="1:7" x14ac:dyDescent="0.3">
      <c r="A13" s="1" t="s">
        <v>21</v>
      </c>
    </row>
    <row r="14" spans="1:7" x14ac:dyDescent="0.3">
      <c r="A14" s="4" t="s">
        <v>14</v>
      </c>
      <c r="B14" s="4" t="s">
        <v>15</v>
      </c>
      <c r="C14" s="4" t="s">
        <v>16</v>
      </c>
      <c r="D14" s="4" t="s">
        <v>17</v>
      </c>
      <c r="E14" s="4" t="s">
        <v>18</v>
      </c>
      <c r="G14" s="4" t="s">
        <v>29</v>
      </c>
    </row>
    <row r="15" spans="1:7" x14ac:dyDescent="0.3">
      <c r="A15">
        <v>1</v>
      </c>
      <c r="B15">
        <v>0.25</v>
      </c>
      <c r="C15">
        <v>9.2499999999999995E-3</v>
      </c>
      <c r="D15">
        <v>0.99108027750247785</v>
      </c>
      <c r="E15">
        <v>9.1674925668979203E-3</v>
      </c>
      <c r="F15" cm="1">
        <f t="array" ref="F15">EXP(xlLinearInt(nodeInfo[knot.yr],nodeInfo[lnDcf],상세_캐쉬플로우!B15))</f>
        <v>0.99108027750247785</v>
      </c>
      <c r="G15">
        <f>D15-F15</f>
        <v>0</v>
      </c>
    </row>
    <row r="16" spans="1:7" x14ac:dyDescent="0.3">
      <c r="A16">
        <v>2</v>
      </c>
      <c r="B16">
        <v>0.5</v>
      </c>
      <c r="C16">
        <v>9.2499999999999995E-3</v>
      </c>
      <c r="D16">
        <v>0.98175130783562259</v>
      </c>
      <c r="E16">
        <v>9.0811995974795084E-3</v>
      </c>
      <c r="F16" cm="1">
        <f t="array" ref="F16">EXP(xlLinearInt(nodeInfo[knot.yr],nodeInfo[lnDcf],상세_캐쉬플로우!B16))</f>
        <v>0.98175130783562259</v>
      </c>
      <c r="G16">
        <f>D16-F16</f>
        <v>0</v>
      </c>
    </row>
    <row r="17" spans="1:7" x14ac:dyDescent="0.3">
      <c r="D17" t="s">
        <v>22</v>
      </c>
      <c r="E17">
        <v>1.8248692164377429E-2</v>
      </c>
    </row>
    <row r="18" spans="1:7" x14ac:dyDescent="0.3">
      <c r="D18" t="s">
        <v>23</v>
      </c>
      <c r="E18">
        <v>1.8248692164377411E-2</v>
      </c>
    </row>
    <row r="20" spans="1:7" x14ac:dyDescent="0.3">
      <c r="A20" s="1" t="s">
        <v>24</v>
      </c>
    </row>
    <row r="21" spans="1:7" x14ac:dyDescent="0.3">
      <c r="A21" s="4" t="s">
        <v>14</v>
      </c>
      <c r="B21" s="4" t="s">
        <v>15</v>
      </c>
      <c r="C21" s="4" t="s">
        <v>16</v>
      </c>
      <c r="D21" s="4" t="s">
        <v>17</v>
      </c>
      <c r="E21" s="4" t="s">
        <v>18</v>
      </c>
      <c r="G21" s="4" t="s">
        <v>29</v>
      </c>
    </row>
    <row r="22" spans="1:7" x14ac:dyDescent="0.3">
      <c r="A22">
        <v>1</v>
      </c>
      <c r="B22">
        <v>0.25</v>
      </c>
      <c r="C22">
        <v>9.4999999999999998E-3</v>
      </c>
      <c r="D22">
        <v>0.99108027750247785</v>
      </c>
      <c r="E22">
        <v>9.4152626362735397E-3</v>
      </c>
      <c r="F22" cm="1">
        <f t="array" ref="F22">EXP(xlLinearInt(nodeInfo[knot.yr],nodeInfo[lnDcf],상세_캐쉬플로우!B22))</f>
        <v>0.99108027750247785</v>
      </c>
      <c r="G22">
        <f>D22-F22</f>
        <v>0</v>
      </c>
    </row>
    <row r="23" spans="1:7" x14ac:dyDescent="0.3">
      <c r="A23">
        <v>2</v>
      </c>
      <c r="B23">
        <v>0.5</v>
      </c>
      <c r="C23">
        <v>9.4999999999999998E-3</v>
      </c>
      <c r="D23">
        <v>0.98175130783562259</v>
      </c>
      <c r="E23">
        <v>9.3266374244384137E-3</v>
      </c>
    </row>
    <row r="24" spans="1:7" x14ac:dyDescent="0.3">
      <c r="A24">
        <v>3</v>
      </c>
      <c r="B24">
        <v>0.75</v>
      </c>
      <c r="C24">
        <v>9.4999999999999998E-3</v>
      </c>
      <c r="D24">
        <v>0.97202387314441607</v>
      </c>
      <c r="E24">
        <v>9.2342267948719529E-3</v>
      </c>
    </row>
    <row r="25" spans="1:7" x14ac:dyDescent="0.3">
      <c r="D25" t="s">
        <v>22</v>
      </c>
      <c r="E25">
        <v>2.7976126855583906E-2</v>
      </c>
    </row>
    <row r="26" spans="1:7" x14ac:dyDescent="0.3">
      <c r="D26" t="s">
        <v>23</v>
      </c>
      <c r="E26">
        <v>2.7976126855583927E-2</v>
      </c>
    </row>
    <row r="28" spans="1:7" x14ac:dyDescent="0.3">
      <c r="A28" s="1" t="s">
        <v>25</v>
      </c>
    </row>
    <row r="29" spans="1:7" x14ac:dyDescent="0.3">
      <c r="A29" s="4" t="s">
        <v>14</v>
      </c>
      <c r="B29" s="4" t="s">
        <v>15</v>
      </c>
      <c r="C29" s="4" t="s">
        <v>16</v>
      </c>
      <c r="D29" s="4" t="s">
        <v>17</v>
      </c>
      <c r="E29" s="4" t="s">
        <v>18</v>
      </c>
      <c r="G29" s="4" t="s">
        <v>29</v>
      </c>
    </row>
    <row r="30" spans="1:7" x14ac:dyDescent="0.3">
      <c r="A30">
        <v>1</v>
      </c>
      <c r="B30">
        <v>0.25</v>
      </c>
      <c r="C30">
        <v>9.75E-3</v>
      </c>
      <c r="D30">
        <v>0.99108027750247785</v>
      </c>
      <c r="E30">
        <v>9.6630327056491591E-3</v>
      </c>
      <c r="F30" cm="1">
        <f t="array" ref="F30">EXP(xlLinearInt(nodeInfo[knot.yr],nodeInfo[lnDcf],상세_캐쉬플로우!B30))</f>
        <v>0.99108027750247785</v>
      </c>
      <c r="G30">
        <f>D30-F30</f>
        <v>0</v>
      </c>
    </row>
    <row r="31" spans="1:7" x14ac:dyDescent="0.3">
      <c r="A31">
        <v>2</v>
      </c>
      <c r="B31">
        <v>0.5</v>
      </c>
      <c r="C31">
        <v>9.75E-3</v>
      </c>
      <c r="D31">
        <v>0.98175130783562259</v>
      </c>
      <c r="E31">
        <v>9.5720752513973207E-3</v>
      </c>
      <c r="F31" cm="1">
        <f t="array" ref="F31">EXP(xlLinearInt(nodeInfo[knot.yr],nodeInfo[lnDcf],상세_캐쉬플로우!B31))</f>
        <v>0.98175130783562259</v>
      </c>
      <c r="G31">
        <f t="shared" ref="G31:G33" si="0">D31-F31</f>
        <v>0</v>
      </c>
    </row>
    <row r="32" spans="1:7" x14ac:dyDescent="0.3">
      <c r="A32">
        <v>3</v>
      </c>
      <c r="B32">
        <v>0.75</v>
      </c>
      <c r="C32">
        <v>9.75E-3</v>
      </c>
      <c r="D32">
        <v>0.97202387314441607</v>
      </c>
      <c r="E32">
        <v>9.4772327631580562E-3</v>
      </c>
      <c r="F32" cm="1">
        <f t="array" ref="F32">EXP(xlLinearInt(nodeInfo[knot.yr],nodeInfo[lnDcf],상세_캐쉬플로우!B32))</f>
        <v>0.97202387314441607</v>
      </c>
      <c r="G32">
        <f t="shared" si="0"/>
        <v>0</v>
      </c>
    </row>
    <row r="33" spans="1:7" x14ac:dyDescent="0.3">
      <c r="A33">
        <v>4</v>
      </c>
      <c r="B33">
        <v>1</v>
      </c>
      <c r="C33">
        <v>9.75E-3</v>
      </c>
      <c r="D33">
        <v>0.96190904608051053</v>
      </c>
      <c r="E33">
        <v>9.3786131992849783E-3</v>
      </c>
      <c r="F33" cm="1">
        <f t="array" ref="F33">EXP(xlLinearInt(nodeInfo[knot.yr],nodeInfo[lnDcf],상세_캐쉬플로우!B33))</f>
        <v>0.96190904608051042</v>
      </c>
      <c r="G33">
        <f t="shared" si="0"/>
        <v>0</v>
      </c>
    </row>
    <row r="34" spans="1:7" x14ac:dyDescent="0.3">
      <c r="D34" t="s">
        <v>22</v>
      </c>
      <c r="E34">
        <v>3.8090953919489509E-2</v>
      </c>
    </row>
    <row r="35" spans="1:7" x14ac:dyDescent="0.3">
      <c r="D35" t="s">
        <v>23</v>
      </c>
      <c r="E35">
        <v>3.8090953919489468E-2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요약_및_계산로직</vt:lpstr>
      <vt:lpstr>상세_캐쉬플로우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2026-01-08T11:56:11Z</dcterms:created>
  <dcterms:modified xsi:type="dcterms:W3CDTF">2026-01-08T12:08:26Z</dcterms:modified>
</cp:coreProperties>
</file>