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Repositories\cursor limit check\"/>
    </mc:Choice>
  </mc:AlternateContent>
  <xr:revisionPtr revIDLastSave="0" documentId="8_{CDE2AB62-E9A0-4D2C-8157-215ABC749F91}" xr6:coauthVersionLast="36" xr6:coauthVersionMax="36" xr10:uidLastSave="{00000000-0000-0000-0000-000000000000}"/>
  <bookViews>
    <workbookView xWindow="0" yWindow="0" windowWidth="28800" windowHeight="12180" xr2:uid="{40688C71-ED97-4FC5-A044-A3444504ECCB}"/>
  </bookViews>
  <sheets>
    <sheet name="Calculation" sheetId="2" r:id="rId1"/>
    <sheet name="Main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2" i="2"/>
  <c r="C5" i="2"/>
  <c r="C37" i="2"/>
  <c r="C7" i="2"/>
  <c r="C41" i="2"/>
  <c r="C43" i="2"/>
  <c r="C44" i="2"/>
  <c r="C15" i="2"/>
  <c r="C26" i="2"/>
  <c r="C32" i="2"/>
  <c r="C35" i="2"/>
  <c r="C6" i="2"/>
  <c r="C38" i="2"/>
  <c r="C39" i="2"/>
  <c r="C40" i="2"/>
  <c r="C42" i="2"/>
  <c r="C12" i="2"/>
  <c r="C24" i="2"/>
  <c r="C30" i="2"/>
  <c r="C36" i="2"/>
  <c r="C8" i="2"/>
  <c r="C21" i="2"/>
  <c r="C34" i="2"/>
  <c r="C9" i="2"/>
  <c r="C25" i="2"/>
  <c r="C10" i="2"/>
  <c r="C16" i="2"/>
  <c r="C11" i="2"/>
  <c r="C28" i="2"/>
  <c r="C13" i="2"/>
  <c r="C19" i="2"/>
  <c r="C14" i="2"/>
  <c r="C20" i="2"/>
  <c r="C31" i="2"/>
  <c r="C17" i="2"/>
  <c r="C18" i="2"/>
  <c r="C29" i="2"/>
  <c r="C27" i="2"/>
  <c r="C33" i="2"/>
  <c r="C22" i="2"/>
  <c r="C23" i="2"/>
  <c r="C5" i="1"/>
  <c r="F5" i="1"/>
  <c r="C6" i="1"/>
  <c r="F6" i="1"/>
  <c r="C7" i="1"/>
  <c r="F7" i="1"/>
  <c r="C8" i="1"/>
  <c r="F8" i="1"/>
</calcChain>
</file>

<file path=xl/sharedStrings.xml><?xml version="1.0" encoding="utf-8"?>
<sst xmlns="http://schemas.openxmlformats.org/spreadsheetml/2006/main" count="22" uniqueCount="18">
  <si>
    <t>KRW IRS Bootstrapping Tool (Log-Linear)</t>
  </si>
  <si>
    <t>No</t>
  </si>
  <si>
    <t>Inst. Tenor</t>
  </si>
  <si>
    <t>Tenor(Y)</t>
  </si>
  <si>
    <t>Market Rate</t>
  </si>
  <si>
    <t>Jump Node</t>
  </si>
  <si>
    <t>Node(Y)</t>
  </si>
  <si>
    <t>Solved Forward</t>
  </si>
  <si>
    <t>1D</t>
  </si>
  <si>
    <t>3M</t>
  </si>
  <si>
    <t>6M</t>
  </si>
  <si>
    <t>1Y</t>
  </si>
  <si>
    <t>Target Index:</t>
  </si>
  <si>
    <t>NPV Error:</t>
  </si>
  <si>
    <t>Time(T)</t>
  </si>
  <si>
    <t>CashFlow</t>
  </si>
  <si>
    <t>DF</t>
  </si>
  <si>
    <t>DCF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</si>
</sst>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533400</xdr:colOff>
          <xdr:row>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AF0BC8E-9E68-4E7C-B1BF-BC7C720964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Bootstrapping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BE799-794C-4D5E-A49E-FEBC848121B5}">
  <dimension ref="A1:D44"/>
  <sheetViews>
    <sheetView tabSelected="1" workbookViewId="0"/>
  </sheetViews>
  <sheetFormatPr defaultRowHeight="16.5" x14ac:dyDescent="0.3"/>
  <sheetData>
    <row r="1" spans="1:4" x14ac:dyDescent="0.3">
      <c r="A1" t="s">
        <v>12</v>
      </c>
      <c r="B1">
        <v>1</v>
      </c>
    </row>
    <row r="2" spans="1:4" x14ac:dyDescent="0.3">
      <c r="A2" t="s">
        <v>13</v>
      </c>
      <c r="B2">
        <f ca="1">IF($B$1&lt;=2, (1 + INDEX(Main!$D$5:$D$20, $B$1)*INDEX(Main!$C$5:$C$20, $B$1))*LogLinearDF(INDEX(Main!$C$5:$C$20, $B$1), Main!$F$5:$F$20, Main!$G$5:$G$20) - 1, SUM(OFFSET(D5,0,0,INDEX(Main!$C$5:$C$20, $B$1)*4,1)) - (1 - LogLinearDF(INDEX(Main!$C$5:$C$20, $B$1), Main!$F$5:$F$20, Main!$G$5:$G$20)))</f>
        <v>-4.5971915163534049E-9</v>
      </c>
    </row>
    <row r="4" spans="1:4" x14ac:dyDescent="0.3">
      <c r="A4" t="s">
        <v>14</v>
      </c>
      <c r="B4" t="s">
        <v>15</v>
      </c>
      <c r="C4" t="s">
        <v>16</v>
      </c>
      <c r="D4" t="s">
        <v>17</v>
      </c>
    </row>
    <row r="5" spans="1:4" x14ac:dyDescent="0.3">
      <c r="A5">
        <v>0.25</v>
      </c>
      <c r="B5">
        <f>INDEX(Main!$D$5:$D$20, $B$1) * 0.25</f>
        <v>8.7500000000000008E-3</v>
      </c>
      <c r="C5">
        <f>LogLinearDF(A5, Main!$F$5:$F$20, Main!$G$5:$G$20)</f>
        <v>0.99104309395572299</v>
      </c>
      <c r="D5">
        <f t="shared" ref="D5:D44" si="0">B5*C5</f>
        <v>8.6716270721125775E-3</v>
      </c>
    </row>
    <row r="6" spans="1:4" x14ac:dyDescent="0.3">
      <c r="A6">
        <v>0.5</v>
      </c>
      <c r="B6">
        <f>INDEX(Main!$D$5:$D$20, $B$1) * 0.25</f>
        <v>8.7500000000000008E-3</v>
      </c>
      <c r="C6">
        <f>LogLinearDF(A6, Main!$F$5:$F$20, Main!$G$5:$G$20)</f>
        <v>0.98191821297338555</v>
      </c>
      <c r="D6">
        <f t="shared" si="0"/>
        <v>8.5917843635171243E-3</v>
      </c>
    </row>
    <row r="7" spans="1:4" x14ac:dyDescent="0.3">
      <c r="A7">
        <v>0.75</v>
      </c>
      <c r="B7">
        <f>INDEX(Main!$D$5:$D$20, $B$1) * 0.25</f>
        <v>8.7500000000000008E-3</v>
      </c>
      <c r="C7">
        <f>LogLinearDF(A7, Main!$F$5:$F$20, Main!$G$5:$G$20)</f>
        <v>0.97239103088261358</v>
      </c>
      <c r="D7">
        <f t="shared" si="0"/>
        <v>8.5084215202228704E-3</v>
      </c>
    </row>
    <row r="8" spans="1:4" x14ac:dyDescent="0.3">
      <c r="A8">
        <v>1</v>
      </c>
      <c r="B8">
        <f>INDEX(Main!$D$5:$D$20, $B$1) * 0.25</f>
        <v>8.7500000000000008E-3</v>
      </c>
      <c r="C8">
        <f>LogLinearDF(A8, Main!$F$5:$F$20, Main!$G$5:$G$20)</f>
        <v>0.96295628744649886</v>
      </c>
      <c r="D8">
        <f t="shared" si="0"/>
        <v>8.4258675151568652E-3</v>
      </c>
    </row>
    <row r="9" spans="1:4" x14ac:dyDescent="0.3">
      <c r="A9">
        <v>1.25</v>
      </c>
      <c r="B9">
        <f>INDEX(Main!$D$5:$D$20, $B$1) * 0.25</f>
        <v>8.7500000000000008E-3</v>
      </c>
      <c r="C9">
        <f>LogLinearDF(A9, Main!$F$5:$F$20, Main!$G$5:$G$20)</f>
        <v>0.95361308576763848</v>
      </c>
      <c r="D9">
        <f t="shared" si="0"/>
        <v>8.3441145004668378E-3</v>
      </c>
    </row>
    <row r="10" spans="1:4" x14ac:dyDescent="0.3">
      <c r="A10">
        <v>1.5</v>
      </c>
      <c r="B10">
        <f>INDEX(Main!$D$5:$D$20, $B$1) * 0.25</f>
        <v>8.7500000000000008E-3</v>
      </c>
      <c r="C10">
        <f>LogLinearDF(A10, Main!$F$5:$F$20, Main!$G$5:$G$20)</f>
        <v>0.94436053765088668</v>
      </c>
      <c r="D10">
        <f t="shared" si="0"/>
        <v>8.2631547044452591E-3</v>
      </c>
    </row>
    <row r="11" spans="1:4" x14ac:dyDescent="0.3">
      <c r="A11">
        <v>1.75</v>
      </c>
      <c r="B11">
        <f>INDEX(Main!$D$5:$D$20, $B$1) * 0.25</f>
        <v>8.7500000000000008E-3</v>
      </c>
      <c r="C11">
        <f>LogLinearDF(A11, Main!$F$5:$F$20, Main!$G$5:$G$20)</f>
        <v>0.93519776351892014</v>
      </c>
      <c r="D11">
        <f t="shared" si="0"/>
        <v>8.182980430790552E-3</v>
      </c>
    </row>
    <row r="12" spans="1:4" x14ac:dyDescent="0.3">
      <c r="A12">
        <v>2</v>
      </c>
      <c r="B12">
        <f>INDEX(Main!$D$5:$D$20, $B$1) * 0.25</f>
        <v>8.7500000000000008E-3</v>
      </c>
      <c r="C12">
        <f>LogLinearDF(A12, Main!$F$5:$F$20, Main!$G$5:$G$20)</f>
        <v>0.92612389232862291</v>
      </c>
      <c r="D12">
        <f t="shared" si="0"/>
        <v>8.1035840578754514E-3</v>
      </c>
    </row>
    <row r="13" spans="1:4" x14ac:dyDescent="0.3">
      <c r="A13">
        <v>2.25</v>
      </c>
      <c r="B13">
        <f>INDEX(Main!$D$5:$D$20, $B$1) * 0.25</f>
        <v>8.7500000000000008E-3</v>
      </c>
      <c r="C13">
        <f>LogLinearDF(A13, Main!$F$5:$F$20, Main!$G$5:$G$20)</f>
        <v>0.91713806148828136</v>
      </c>
      <c r="D13">
        <f t="shared" si="0"/>
        <v>8.0249580380224624E-3</v>
      </c>
    </row>
    <row r="14" spans="1:4" x14ac:dyDescent="0.3">
      <c r="A14">
        <v>2.5</v>
      </c>
      <c r="B14">
        <f>INDEX(Main!$D$5:$D$20, $B$1) * 0.25</f>
        <v>8.7500000000000008E-3</v>
      </c>
      <c r="C14">
        <f>LogLinearDF(A14, Main!$F$5:$F$20, Main!$G$5:$G$20)</f>
        <v>0.9082394167755844</v>
      </c>
      <c r="D14">
        <f t="shared" si="0"/>
        <v>7.947094896786364E-3</v>
      </c>
    </row>
    <row r="15" spans="1:4" x14ac:dyDescent="0.3">
      <c r="A15">
        <v>2.75</v>
      </c>
      <c r="B15">
        <f>INDEX(Main!$D$5:$D$20, $B$1) * 0.25</f>
        <v>8.7500000000000008E-3</v>
      </c>
      <c r="C15">
        <f>LogLinearDF(A15, Main!$F$5:$F$20, Main!$G$5:$G$20)</f>
        <v>0.89942711225641769</v>
      </c>
      <c r="D15">
        <f t="shared" si="0"/>
        <v>7.869987232243655E-3</v>
      </c>
    </row>
    <row r="16" spans="1:4" x14ac:dyDescent="0.3">
      <c r="A16">
        <v>3</v>
      </c>
      <c r="B16">
        <f>INDEX(Main!$D$5:$D$20, $B$1) * 0.25</f>
        <v>8.7500000000000008E-3</v>
      </c>
      <c r="C16">
        <f>LogLinearDF(A16, Main!$F$5:$F$20, Main!$G$5:$G$20)</f>
        <v>0.8907003102044464</v>
      </c>
      <c r="D16">
        <f t="shared" si="0"/>
        <v>7.7936277142889067E-3</v>
      </c>
    </row>
    <row r="17" spans="1:4" x14ac:dyDescent="0.3">
      <c r="A17">
        <v>3.25</v>
      </c>
      <c r="B17">
        <f>INDEX(Main!$D$5:$D$20, $B$1) * 0.25</f>
        <v>8.7500000000000008E-3</v>
      </c>
      <c r="C17">
        <f>LogLinearDF(A17, Main!$F$5:$F$20, Main!$G$5:$G$20)</f>
        <v>0.8820581810214787</v>
      </c>
      <c r="D17">
        <f t="shared" si="0"/>
        <v>7.7180090839379396E-3</v>
      </c>
    </row>
    <row r="18" spans="1:4" x14ac:dyDescent="0.3">
      <c r="A18">
        <v>3.5</v>
      </c>
      <c r="B18">
        <f>INDEX(Main!$D$5:$D$20, $B$1) * 0.25</f>
        <v>8.7500000000000008E-3</v>
      </c>
      <c r="C18">
        <f>LogLinearDF(A18, Main!$F$5:$F$20, Main!$G$5:$G$20)</f>
        <v>0.87349990315860082</v>
      </c>
      <c r="D18">
        <f t="shared" si="0"/>
        <v>7.6431241526377577E-3</v>
      </c>
    </row>
    <row r="19" spans="1:4" x14ac:dyDescent="0.3">
      <c r="A19">
        <v>3.75</v>
      </c>
      <c r="B19">
        <f>INDEX(Main!$D$5:$D$20, $B$1) * 0.25</f>
        <v>8.7500000000000008E-3</v>
      </c>
      <c r="C19">
        <f>LogLinearDF(A19, Main!$F$5:$F$20, Main!$G$5:$G$20)</f>
        <v>0.86502466303807846</v>
      </c>
      <c r="D19">
        <f t="shared" si="0"/>
        <v>7.5689658015831874E-3</v>
      </c>
    </row>
    <row r="20" spans="1:4" x14ac:dyDescent="0.3">
      <c r="A20">
        <v>4</v>
      </c>
      <c r="B20">
        <f>INDEX(Main!$D$5:$D$20, $B$1) * 0.25</f>
        <v>8.7500000000000008E-3</v>
      </c>
      <c r="C20">
        <f>LogLinearDF(A20, Main!$F$5:$F$20, Main!$G$5:$G$20)</f>
        <v>0.85663165497601523</v>
      </c>
      <c r="D20">
        <f t="shared" si="0"/>
        <v>7.4955269810401343E-3</v>
      </c>
    </row>
    <row r="21" spans="1:4" x14ac:dyDescent="0.3">
      <c r="A21">
        <v>4.25</v>
      </c>
      <c r="B21">
        <f>INDEX(Main!$D$5:$D$20, $B$1) * 0.25</f>
        <v>8.7500000000000008E-3</v>
      </c>
      <c r="C21">
        <f>LogLinearDF(A21, Main!$F$5:$F$20, Main!$G$5:$G$20)</f>
        <v>0.8483200811057614</v>
      </c>
      <c r="D21">
        <f t="shared" si="0"/>
        <v>7.4228007096754133E-3</v>
      </c>
    </row>
    <row r="22" spans="1:4" x14ac:dyDescent="0.3">
      <c r="A22">
        <v>4.5</v>
      </c>
      <c r="B22">
        <f>INDEX(Main!$D$5:$D$20, $B$1) * 0.25</f>
        <v>8.7500000000000008E-3</v>
      </c>
      <c r="C22">
        <f>LogLinearDF(A22, Main!$F$5:$F$20, Main!$G$5:$G$20)</f>
        <v>0.84008915130206696</v>
      </c>
      <c r="D22">
        <f t="shared" si="0"/>
        <v>7.3507800738930864E-3</v>
      </c>
    </row>
    <row r="23" spans="1:4" x14ac:dyDescent="0.3">
      <c r="A23">
        <v>4.75</v>
      </c>
      <c r="B23">
        <f>INDEX(Main!$D$5:$D$20, $B$1) * 0.25</f>
        <v>8.7500000000000008E-3</v>
      </c>
      <c r="C23">
        <f>LogLinearDF(A23, Main!$F$5:$F$20, Main!$G$5:$G$20)</f>
        <v>0.83193808310596895</v>
      </c>
      <c r="D23">
        <f t="shared" si="0"/>
        <v>7.2794582271772292E-3</v>
      </c>
    </row>
    <row r="24" spans="1:4" x14ac:dyDescent="0.3">
      <c r="A24">
        <v>5</v>
      </c>
      <c r="B24">
        <f>INDEX(Main!$D$5:$D$20, $B$1) * 0.25</f>
        <v>8.7500000000000008E-3</v>
      </c>
      <c r="C24">
        <f>LogLinearDF(A24, Main!$F$5:$F$20, Main!$G$5:$G$20)</f>
        <v>0.8238661016504083</v>
      </c>
      <c r="D24">
        <f t="shared" si="0"/>
        <v>7.2088283894410736E-3</v>
      </c>
    </row>
    <row r="25" spans="1:4" x14ac:dyDescent="0.3">
      <c r="A25">
        <v>5.25</v>
      </c>
      <c r="B25">
        <f>INDEX(Main!$D$5:$D$20, $B$1) * 0.25</f>
        <v>8.7500000000000008E-3</v>
      </c>
      <c r="C25">
        <f>LogLinearDF(A25, Main!$F$5:$F$20, Main!$G$5:$G$20)</f>
        <v>0.81587243958656941</v>
      </c>
      <c r="D25">
        <f t="shared" si="0"/>
        <v>7.1388838463824827E-3</v>
      </c>
    </row>
    <row r="26" spans="1:4" x14ac:dyDescent="0.3">
      <c r="A26">
        <v>5.5</v>
      </c>
      <c r="B26">
        <f>INDEX(Main!$D$5:$D$20, $B$1) * 0.25</f>
        <v>8.7500000000000008E-3</v>
      </c>
      <c r="C26">
        <f>LogLinearDF(A26, Main!$F$5:$F$20, Main!$G$5:$G$20)</f>
        <v>0.80795633701093228</v>
      </c>
      <c r="D26">
        <f t="shared" si="0"/>
        <v>7.0696179488456577E-3</v>
      </c>
    </row>
    <row r="27" spans="1:4" x14ac:dyDescent="0.3">
      <c r="A27">
        <v>5.75</v>
      </c>
      <c r="B27">
        <f>INDEX(Main!$D$5:$D$20, $B$1) * 0.25</f>
        <v>8.7500000000000008E-3</v>
      </c>
      <c r="C27">
        <f>LogLinearDF(A27, Main!$F$5:$F$20, Main!$G$5:$G$20)</f>
        <v>0.80011704139303452</v>
      </c>
      <c r="D27">
        <f t="shared" si="0"/>
        <v>7.001024112189053E-3</v>
      </c>
    </row>
    <row r="28" spans="1:4" x14ac:dyDescent="0.3">
      <c r="A28">
        <v>6</v>
      </c>
      <c r="B28">
        <f>INDEX(Main!$D$5:$D$20, $B$1) * 0.25</f>
        <v>8.7500000000000008E-3</v>
      </c>
      <c r="C28">
        <f>LogLinearDF(A28, Main!$F$5:$F$20, Main!$G$5:$G$20)</f>
        <v>0.79235380750393292</v>
      </c>
      <c r="D28">
        <f t="shared" si="0"/>
        <v>6.9330958156594135E-3</v>
      </c>
    </row>
    <row r="29" spans="1:4" x14ac:dyDescent="0.3">
      <c r="A29">
        <v>6.25</v>
      </c>
      <c r="B29">
        <f>INDEX(Main!$D$5:$D$20, $B$1) * 0.25</f>
        <v>8.7500000000000008E-3</v>
      </c>
      <c r="C29">
        <f>LogLinearDF(A29, Main!$F$5:$F$20, Main!$G$5:$G$20)</f>
        <v>0.78466589734535941</v>
      </c>
      <c r="D29">
        <f t="shared" si="0"/>
        <v>6.8658266017718956E-3</v>
      </c>
    </row>
    <row r="30" spans="1:4" x14ac:dyDescent="0.3">
      <c r="A30">
        <v>6.5</v>
      </c>
      <c r="B30">
        <f>INDEX(Main!$D$5:$D$20, $B$1) * 0.25</f>
        <v>8.7500000000000008E-3</v>
      </c>
      <c r="C30">
        <f>LogLinearDF(A30, Main!$F$5:$F$20, Main!$G$5:$G$20)</f>
        <v>0.77705258007956501</v>
      </c>
      <c r="D30">
        <f t="shared" si="0"/>
        <v>6.7992100756961949E-3</v>
      </c>
    </row>
    <row r="31" spans="1:4" x14ac:dyDescent="0.3">
      <c r="A31">
        <v>6.75</v>
      </c>
      <c r="B31">
        <f>INDEX(Main!$D$5:$D$20, $B$1) * 0.25</f>
        <v>8.7500000000000008E-3</v>
      </c>
      <c r="C31">
        <f>LogLinearDF(A31, Main!$F$5:$F$20, Main!$G$5:$G$20)</f>
        <v>0.76951313195984383</v>
      </c>
      <c r="D31">
        <f t="shared" si="0"/>
        <v>6.733239904648634E-3</v>
      </c>
    </row>
    <row r="32" spans="1:4" x14ac:dyDescent="0.3">
      <c r="A32">
        <v>7</v>
      </c>
      <c r="B32">
        <f>INDEX(Main!$D$5:$D$20, $B$1) * 0.25</f>
        <v>8.7500000000000008E-3</v>
      </c>
      <c r="C32">
        <f>LogLinearDF(A32, Main!$F$5:$F$20, Main!$G$5:$G$20)</f>
        <v>0.7620468362617312</v>
      </c>
      <c r="D32">
        <f t="shared" si="0"/>
        <v>6.6679098172901484E-3</v>
      </c>
    </row>
    <row r="33" spans="1:4" x14ac:dyDescent="0.3">
      <c r="A33">
        <v>7.25</v>
      </c>
      <c r="B33">
        <f>INDEX(Main!$D$5:$D$20, $B$1) * 0.25</f>
        <v>8.7500000000000008E-3</v>
      </c>
      <c r="C33">
        <f>LogLinearDF(A33, Main!$F$5:$F$20, Main!$G$5:$G$20)</f>
        <v>0.75465298321486962</v>
      </c>
      <c r="D33">
        <f t="shared" si="0"/>
        <v>6.6032136031301102E-3</v>
      </c>
    </row>
    <row r="34" spans="1:4" x14ac:dyDescent="0.3">
      <c r="A34">
        <v>7.5</v>
      </c>
      <c r="B34">
        <f>INDEX(Main!$D$5:$D$20, $B$1) * 0.25</f>
        <v>8.7500000000000008E-3</v>
      </c>
      <c r="C34">
        <f>LogLinearDF(A34, Main!$F$5:$F$20, Main!$G$5:$G$20)</f>
        <v>0.74733086993553555</v>
      </c>
      <c r="D34">
        <f t="shared" si="0"/>
        <v>6.5391451119359368E-3</v>
      </c>
    </row>
    <row r="35" spans="1:4" x14ac:dyDescent="0.3">
      <c r="A35">
        <v>7.75</v>
      </c>
      <c r="B35">
        <f>INDEX(Main!$D$5:$D$20, $B$1) * 0.25</f>
        <v>8.7500000000000008E-3</v>
      </c>
      <c r="C35">
        <f>LogLinearDF(A35, Main!$F$5:$F$20, Main!$G$5:$G$20)</f>
        <v>0.74007980035982146</v>
      </c>
      <c r="D35">
        <f t="shared" si="0"/>
        <v>6.4756982531484382E-3</v>
      </c>
    </row>
    <row r="36" spans="1:4" x14ac:dyDescent="0.3">
      <c r="A36">
        <v>8</v>
      </c>
      <c r="B36">
        <f>INDEX(Main!$D$5:$D$20, $B$1) * 0.25</f>
        <v>8.7500000000000008E-3</v>
      </c>
      <c r="C36">
        <f>LogLinearDF(A36, Main!$F$5:$F$20, Main!$G$5:$G$20)</f>
        <v>0.73289908517746516</v>
      </c>
      <c r="D36">
        <f t="shared" si="0"/>
        <v>6.4128669953028208E-3</v>
      </c>
    </row>
    <row r="37" spans="1:4" x14ac:dyDescent="0.3">
      <c r="A37">
        <v>8.25</v>
      </c>
      <c r="B37">
        <f>INDEX(Main!$D$5:$D$20, $B$1) * 0.25</f>
        <v>8.7500000000000008E-3</v>
      </c>
      <c r="C37">
        <f>LogLinearDF(A37, Main!$F$5:$F$20, Main!$G$5:$G$20)</f>
        <v>0.72578804176632206</v>
      </c>
      <c r="D37">
        <f t="shared" si="0"/>
        <v>6.3506453654553182E-3</v>
      </c>
    </row>
    <row r="38" spans="1:4" x14ac:dyDescent="0.3">
      <c r="A38">
        <v>8.5</v>
      </c>
      <c r="B38">
        <f>INDEX(Main!$D$5:$D$20, $B$1) * 0.25</f>
        <v>8.7500000000000008E-3</v>
      </c>
      <c r="C38">
        <f>LogLinearDF(A38, Main!$F$5:$F$20, Main!$G$5:$G$20)</f>
        <v>0.71874599412747253</v>
      </c>
      <c r="D38">
        <f t="shared" si="0"/>
        <v>6.2890274486153853E-3</v>
      </c>
    </row>
    <row r="39" spans="1:4" x14ac:dyDescent="0.3">
      <c r="A39">
        <v>8.75</v>
      </c>
      <c r="B39">
        <f>INDEX(Main!$D$5:$D$20, $B$1) * 0.25</f>
        <v>8.7500000000000008E-3</v>
      </c>
      <c r="C39">
        <f>LogLinearDF(A39, Main!$F$5:$F$20, Main!$G$5:$G$20)</f>
        <v>0.71177227282095978</v>
      </c>
      <c r="D39">
        <f t="shared" si="0"/>
        <v>6.2280073871833989E-3</v>
      </c>
    </row>
    <row r="40" spans="1:4" x14ac:dyDescent="0.3">
      <c r="A40">
        <v>9</v>
      </c>
      <c r="B40">
        <f>INDEX(Main!$D$5:$D$20, $B$1) * 0.25</f>
        <v>8.7500000000000008E-3</v>
      </c>
      <c r="C40">
        <f>LogLinearDF(A40, Main!$F$5:$F$20, Main!$G$5:$G$20)</f>
        <v>0.70486621490215051</v>
      </c>
      <c r="D40">
        <f t="shared" si="0"/>
        <v>6.1675793803938174E-3</v>
      </c>
    </row>
    <row r="41" spans="1:4" x14ac:dyDescent="0.3">
      <c r="A41">
        <v>9.25</v>
      </c>
      <c r="B41">
        <f>INDEX(Main!$D$5:$D$20, $B$1) * 0.25</f>
        <v>8.7500000000000008E-3</v>
      </c>
      <c r="C41">
        <f>LogLinearDF(A41, Main!$F$5:$F$20, Main!$G$5:$G$20)</f>
        <v>0.698027163858713</v>
      </c>
      <c r="D41">
        <f t="shared" si="0"/>
        <v>6.1077376837637394E-3</v>
      </c>
    </row>
    <row r="42" spans="1:4" x14ac:dyDescent="0.3">
      <c r="A42">
        <v>9.5</v>
      </c>
      <c r="B42">
        <f>INDEX(Main!$D$5:$D$20, $B$1) * 0.25</f>
        <v>8.7500000000000008E-3</v>
      </c>
      <c r="C42">
        <f>LogLinearDF(A42, Main!$F$5:$F$20, Main!$G$5:$G$20)</f>
        <v>0.69125446954820702</v>
      </c>
      <c r="D42">
        <f t="shared" si="0"/>
        <v>6.0484766085468116E-3</v>
      </c>
    </row>
    <row r="43" spans="1:4" x14ac:dyDescent="0.3">
      <c r="A43">
        <v>9.75</v>
      </c>
      <c r="B43">
        <f>INDEX(Main!$D$5:$D$20, $B$1) * 0.25</f>
        <v>8.7500000000000008E-3</v>
      </c>
      <c r="C43">
        <f>LogLinearDF(A43, Main!$F$5:$F$20, Main!$G$5:$G$20)</f>
        <v>0.6845474881362793</v>
      </c>
      <c r="D43">
        <f t="shared" si="0"/>
        <v>5.9897905211924443E-3</v>
      </c>
    </row>
    <row r="44" spans="1:4" x14ac:dyDescent="0.3">
      <c r="A44">
        <v>10</v>
      </c>
      <c r="B44">
        <f>INDEX(Main!$D$5:$D$20, $B$1) * 0.25</f>
        <v>8.7500000000000008E-3</v>
      </c>
      <c r="C44">
        <f>LogLinearDF(A44, Main!$F$5:$F$20, Main!$G$5:$G$20)</f>
        <v>0.67790558203545859</v>
      </c>
      <c r="D44">
        <f t="shared" si="0"/>
        <v>5.9316738428102636E-3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2A02B-D963-445E-B336-DE04A74A3687}">
  <sheetPr codeName="Sheet1"/>
  <dimension ref="A1:G8"/>
  <sheetViews>
    <sheetView workbookViewId="0"/>
  </sheetViews>
  <sheetFormatPr defaultRowHeight="16.5" x14ac:dyDescent="0.3"/>
  <sheetData>
    <row r="1" spans="1:7" ht="26.25" x14ac:dyDescent="0.3">
      <c r="A1" s="1" t="s">
        <v>0</v>
      </c>
    </row>
    <row r="4" spans="1:7" x14ac:dyDescent="0.3">
      <c r="A4" s="2" t="s">
        <v>1</v>
      </c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2" t="s">
        <v>7</v>
      </c>
    </row>
    <row r="5" spans="1:7" x14ac:dyDescent="0.3">
      <c r="A5">
        <v>1</v>
      </c>
      <c r="B5" t="s">
        <v>8</v>
      </c>
      <c r="C5">
        <f>ParseTenor(B5)</f>
        <v>2.7397260273972603E-3</v>
      </c>
      <c r="D5">
        <v>3.5000000000000003E-2</v>
      </c>
      <c r="E5" t="s">
        <v>8</v>
      </c>
      <c r="F5">
        <f>ParseTenor(E5)</f>
        <v>2.7397260273972603E-3</v>
      </c>
      <c r="G5">
        <v>3.5000000000000003E-2</v>
      </c>
    </row>
    <row r="6" spans="1:7" x14ac:dyDescent="0.3">
      <c r="A6">
        <v>2</v>
      </c>
      <c r="B6" t="s">
        <v>9</v>
      </c>
      <c r="C6">
        <f>ParseTenor(B6)</f>
        <v>0.25</v>
      </c>
      <c r="D6">
        <v>3.5999999999999997E-2</v>
      </c>
      <c r="E6" t="s">
        <v>9</v>
      </c>
      <c r="F6">
        <f>ParseTenor(E6)</f>
        <v>0.25</v>
      </c>
      <c r="G6">
        <v>3.5999999999999997E-2</v>
      </c>
    </row>
    <row r="7" spans="1:7" x14ac:dyDescent="0.3">
      <c r="A7">
        <v>3</v>
      </c>
      <c r="B7" t="s">
        <v>10</v>
      </c>
      <c r="C7">
        <f>ParseTenor(B7)</f>
        <v>0.5</v>
      </c>
      <c r="D7">
        <v>3.6999999999999998E-2</v>
      </c>
      <c r="E7" t="s">
        <v>10</v>
      </c>
      <c r="F7">
        <f>ParseTenor(E7)</f>
        <v>0.5</v>
      </c>
      <c r="G7">
        <v>3.6999999999999998E-2</v>
      </c>
    </row>
    <row r="8" spans="1:7" x14ac:dyDescent="0.3">
      <c r="A8">
        <v>4</v>
      </c>
      <c r="B8" t="s">
        <v>11</v>
      </c>
      <c r="C8">
        <f>ParseTenor(B8)</f>
        <v>1</v>
      </c>
      <c r="D8">
        <v>3.9E-2</v>
      </c>
      <c r="E8" t="s">
        <v>11</v>
      </c>
      <c r="F8">
        <f>ParseTenor(E8)</f>
        <v>1</v>
      </c>
      <c r="G8">
        <v>3.9E-2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RunBootstrap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533400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Calculation</vt:lpstr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hangseob cho</dc:creator>
  <cp:lastModifiedBy>hangseob cho</cp:lastModifiedBy>
  <dcterms:created xsi:type="dcterms:W3CDTF">2026-01-08T23:46:45Z</dcterms:created>
  <dcterms:modified xsi:type="dcterms:W3CDTF">2026-01-08T23:46:46Z</dcterms:modified>
</cp:coreProperties>
</file>