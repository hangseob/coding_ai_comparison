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git_repository\coding_ai_comparison\"/>
    </mc:Choice>
  </mc:AlternateContent>
  <xr:revisionPtr revIDLastSave="0" documentId="8_{10384A25-5FD8-4BA6-9779-E170D4581141}" xr6:coauthVersionLast="47" xr6:coauthVersionMax="47" xr10:uidLastSave="{00000000-0000-0000-0000-000000000000}"/>
  <bookViews>
    <workbookView xWindow="-120" yWindow="-120" windowWidth="29040" windowHeight="15720" activeTab="1" xr2:uid="{8D3A6AA3-80AB-4DC2-82ED-AB42E472C755}"/>
  </bookViews>
  <sheets>
    <sheet name="요약_및_계산로직" sheetId="1" r:id="rId1"/>
    <sheet name="상세_캐쉬플로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E34" i="2"/>
  <c r="E33" i="2"/>
  <c r="E32" i="2"/>
  <c r="E31" i="2"/>
  <c r="E30" i="2"/>
  <c r="E26" i="2"/>
  <c r="E25" i="2"/>
  <c r="E24" i="2"/>
  <c r="E23" i="2"/>
  <c r="E22" i="2"/>
  <c r="E18" i="2"/>
  <c r="E17" i="2"/>
  <c r="E16" i="2"/>
  <c r="E15" i="2"/>
  <c r="E11" i="2"/>
  <c r="E10" i="2"/>
  <c r="E6" i="2"/>
  <c r="E5" i="2"/>
  <c r="D33" i="2"/>
  <c r="D32" i="2"/>
  <c r="D31" i="2"/>
  <c r="D30" i="2"/>
  <c r="D24" i="2"/>
  <c r="D23" i="2"/>
  <c r="D22" i="2"/>
  <c r="D16" i="2"/>
  <c r="D15" i="2"/>
  <c r="D10" i="2"/>
  <c r="D5" i="2"/>
</calcChain>
</file>

<file path=xl/sharedStrings.xml><?xml version="1.0" encoding="utf-8"?>
<sst xmlns="http://schemas.openxmlformats.org/spreadsheetml/2006/main" count="54" uniqueCount="29">
  <si>
    <t>KRW IRS Bootstrapping 요약 (Log-Linear Interpolation)</t>
  </si>
  <si>
    <t>인스트루먼트</t>
  </si>
  <si>
    <t>만기(년)</t>
  </si>
  <si>
    <t>시장금리</t>
  </si>
  <si>
    <t>Knot(개월)</t>
  </si>
  <si>
    <t>Knot(년)</t>
  </si>
  <si>
    <t>DiscountFactor</t>
  </si>
  <si>
    <t>LogDF</t>
  </si>
  <si>
    <t>T=0</t>
  </si>
  <si>
    <t>1D Call</t>
  </si>
  <si>
    <t>3M Depo</t>
  </si>
  <si>
    <t>6M IRS</t>
  </si>
  <si>
    <t>9M IRS</t>
  </si>
  <si>
    <t>1Y IRS</t>
  </si>
  <si>
    <t>열1</t>
  </si>
  <si>
    <t>상세 캐쉬플로우 (xlLinearInt 및 테이블 참조)</t>
  </si>
  <si>
    <t>[1D Call] 상세 내역</t>
  </si>
  <si>
    <t>No</t>
  </si>
  <si>
    <t>현금흐름일(년)</t>
  </si>
  <si>
    <t>현금흐름액</t>
  </si>
  <si>
    <t>할인계수(DF)</t>
  </si>
  <si>
    <t>할인현금흐름(DCF)</t>
  </si>
  <si>
    <t>Total PV:</t>
  </si>
  <si>
    <t>[3M Depo] 상세 내역</t>
  </si>
  <si>
    <t>[6M IRS] 상세 내역</t>
  </si>
  <si>
    <t>Fixed Leg PV:</t>
  </si>
  <si>
    <t>Floating Leg PV (1-DF_end):</t>
  </si>
  <si>
    <t>[9M IRS] 상세 내역</t>
  </si>
  <si>
    <t>[1Y IRS] 상세 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</si>
</sst>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B7397-E09C-40C9-BCA5-C77D93EF0FA0}" name="SummaryTable" displayName="SummaryTable" ref="A4:H10" totalsRowShown="0">
  <autoFilter ref="A4:H10" xr:uid="{9B2B7397-E09C-40C9-BCA5-C77D93EF0FA0}"/>
  <tableColumns count="8">
    <tableColumn id="1" xr3:uid="{57079B20-0BFE-4F51-AFAB-C952D34E7CF2}" name="열1"/>
    <tableColumn id="2" xr3:uid="{CA04E635-7138-4882-86C6-4CAC043A7FB9}" name="인스트루먼트"/>
    <tableColumn id="3" xr3:uid="{AFF72E4A-2A84-4710-B294-F57519DA803A}" name="만기(년)"/>
    <tableColumn id="4" xr3:uid="{F6D230AC-4F96-41D1-9112-516B0BE65286}" name="시장금리"/>
    <tableColumn id="5" xr3:uid="{10ED9E96-9544-4E4D-8ADC-4EBF2F572253}" name="Knot(개월)"/>
    <tableColumn id="6" xr3:uid="{3E12575C-B71D-43F2-A403-049B1B5C4066}" name="Knot(년)"/>
    <tableColumn id="7" xr3:uid="{0EF7280E-9F62-4C9A-91C8-0D840124E0D4}" name="DiscountFactor"/>
    <tableColumn id="8" xr3:uid="{4B3B05E4-4C4D-4D73-9AA1-531E791D55EE}" name="LogD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4754-B3D4-421F-9FED-4780375280DB}">
  <sheetPr codeName="Sheet1"/>
  <dimension ref="A1:H10"/>
  <sheetViews>
    <sheetView workbookViewId="0"/>
  </sheetViews>
  <sheetFormatPr defaultRowHeight="16.5" x14ac:dyDescent="0.3"/>
  <cols>
    <col min="1" max="1" width="52.375" bestFit="1" customWidth="1"/>
    <col min="2" max="2" width="15.25" bestFit="1" customWidth="1"/>
    <col min="3" max="3" width="12.75" bestFit="1" customWidth="1"/>
    <col min="4" max="4" width="11.25" bestFit="1" customWidth="1"/>
    <col min="5" max="5" width="13.125" bestFit="1" customWidth="1"/>
    <col min="6" max="6" width="12.75" bestFit="1" customWidth="1"/>
    <col min="7" max="7" width="17.5" bestFit="1" customWidth="1"/>
    <col min="8" max="8" width="13.625" bestFit="1" customWidth="1"/>
  </cols>
  <sheetData>
    <row r="1" spans="1:8" x14ac:dyDescent="0.3">
      <c r="A1" t="s">
        <v>0</v>
      </c>
    </row>
    <row r="4" spans="1:8" x14ac:dyDescent="0.3">
      <c r="A4" t="s">
        <v>14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>
        <v>0</v>
      </c>
      <c r="B5" t="s">
        <v>8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</row>
    <row r="6" spans="1:8" x14ac:dyDescent="0.3">
      <c r="A6">
        <v>1</v>
      </c>
      <c r="B6" t="s">
        <v>9</v>
      </c>
      <c r="C6">
        <v>2.7397260273972603E-3</v>
      </c>
      <c r="D6">
        <v>3.5000000000000003E-2</v>
      </c>
      <c r="E6">
        <v>2</v>
      </c>
      <c r="F6">
        <v>0.16666666666666666</v>
      </c>
      <c r="G6">
        <v>0.99418392555709423</v>
      </c>
      <c r="H6">
        <v>-5.8330536708453761E-3</v>
      </c>
    </row>
    <row r="7" spans="1:8" x14ac:dyDescent="0.3">
      <c r="A7">
        <v>2</v>
      </c>
      <c r="B7" t="s">
        <v>10</v>
      </c>
      <c r="C7">
        <v>0.25</v>
      </c>
      <c r="D7">
        <v>3.5999999999999997E-2</v>
      </c>
      <c r="E7">
        <v>5</v>
      </c>
      <c r="F7">
        <v>0.41666666666666669</v>
      </c>
      <c r="G7">
        <v>0.98490201809541367</v>
      </c>
      <c r="H7">
        <v>-1.5213116772724567E-2</v>
      </c>
    </row>
    <row r="8" spans="1:8" x14ac:dyDescent="0.3">
      <c r="A8">
        <v>3</v>
      </c>
      <c r="B8" t="s">
        <v>11</v>
      </c>
      <c r="C8">
        <v>0.5</v>
      </c>
      <c r="D8">
        <v>3.6999999999999998E-2</v>
      </c>
      <c r="E8">
        <v>7</v>
      </c>
      <c r="F8">
        <v>0.58333333333333337</v>
      </c>
      <c r="G8">
        <v>0.97861067672579649</v>
      </c>
      <c r="H8">
        <v>-2.1621389982464073E-2</v>
      </c>
    </row>
    <row r="9" spans="1:8" x14ac:dyDescent="0.3">
      <c r="A9">
        <v>4</v>
      </c>
      <c r="B9" t="s">
        <v>12</v>
      </c>
      <c r="C9">
        <v>0.75</v>
      </c>
      <c r="D9">
        <v>3.7999999999999999E-2</v>
      </c>
      <c r="E9">
        <v>10</v>
      </c>
      <c r="F9">
        <v>0.83333333333333337</v>
      </c>
      <c r="G9">
        <v>0.96874711539916636</v>
      </c>
      <c r="H9">
        <v>-3.1751675971486953E-2</v>
      </c>
    </row>
    <row r="10" spans="1:8" x14ac:dyDescent="0.3">
      <c r="A10">
        <v>5</v>
      </c>
      <c r="B10" t="s">
        <v>13</v>
      </c>
      <c r="C10">
        <v>1</v>
      </c>
      <c r="D10">
        <v>3.9E-2</v>
      </c>
      <c r="E10">
        <v>13</v>
      </c>
      <c r="F10">
        <v>1.0833333333333333</v>
      </c>
      <c r="G10">
        <v>0.95850813315815286</v>
      </c>
      <c r="H10">
        <v>-4.2377231234417077E-2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1186-7D03-4465-B9EB-AB609AE27ED3}">
  <dimension ref="A1:E35"/>
  <sheetViews>
    <sheetView tabSelected="1" workbookViewId="0"/>
  </sheetViews>
  <sheetFormatPr defaultRowHeight="16.5" x14ac:dyDescent="0.3"/>
  <cols>
    <col min="1" max="1" width="42.125" bestFit="1" customWidth="1"/>
    <col min="2" max="2" width="14.375" bestFit="1" customWidth="1"/>
    <col min="3" max="3" width="11.625" bestFit="1" customWidth="1"/>
    <col min="4" max="4" width="26.875" bestFit="1" customWidth="1"/>
    <col min="5" max="5" width="18.375" bestFit="1" customWidth="1"/>
  </cols>
  <sheetData>
    <row r="1" spans="1:5" x14ac:dyDescent="0.3">
      <c r="A1" t="s">
        <v>15</v>
      </c>
    </row>
    <row r="3" spans="1:5" x14ac:dyDescent="0.3">
      <c r="A3" s="1" t="s">
        <v>16</v>
      </c>
    </row>
    <row r="4" spans="1:5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</row>
    <row r="5" spans="1:5" x14ac:dyDescent="0.3">
      <c r="A5">
        <v>1</v>
      </c>
      <c r="B5">
        <v>2.7397260273972603E-3</v>
      </c>
      <c r="C5">
        <v>1.0000958904109589</v>
      </c>
      <c r="D5">
        <f>EXP(xlLinearInt(SummaryTable[Knot(년)], SummaryTable[LogDF], B5))</f>
        <v>0.99990411878313035</v>
      </c>
      <c r="E5">
        <f>C5*D5</f>
        <v>1</v>
      </c>
    </row>
    <row r="6" spans="1:5" x14ac:dyDescent="0.3">
      <c r="D6" t="s">
        <v>22</v>
      </c>
      <c r="E6">
        <f>E5</f>
        <v>1</v>
      </c>
    </row>
    <row r="8" spans="1:5" x14ac:dyDescent="0.3">
      <c r="A8" s="1" t="s">
        <v>23</v>
      </c>
    </row>
    <row r="9" spans="1:5" x14ac:dyDescent="0.3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</row>
    <row r="10" spans="1:5" x14ac:dyDescent="0.3">
      <c r="A10">
        <v>1</v>
      </c>
      <c r="B10">
        <v>0.25</v>
      </c>
      <c r="C10">
        <v>1.0089999999999999</v>
      </c>
      <c r="D10">
        <f>EXP(xlLinearInt(SummaryTable[Knot(년)], SummaryTable[LogDF], B10))</f>
        <v>0.99108027750247785</v>
      </c>
      <c r="E10">
        <f>C10*D10</f>
        <v>1</v>
      </c>
    </row>
    <row r="11" spans="1:5" x14ac:dyDescent="0.3">
      <c r="D11" t="s">
        <v>22</v>
      </c>
      <c r="E11">
        <f>E10</f>
        <v>1</v>
      </c>
    </row>
    <row r="13" spans="1:5" x14ac:dyDescent="0.3">
      <c r="A13" s="1" t="s">
        <v>24</v>
      </c>
    </row>
    <row r="14" spans="1:5" x14ac:dyDescent="0.3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</row>
    <row r="15" spans="1:5" x14ac:dyDescent="0.3">
      <c r="A15">
        <v>1</v>
      </c>
      <c r="B15">
        <v>0.25</v>
      </c>
      <c r="C15">
        <v>9.2499999999999995E-3</v>
      </c>
      <c r="D15">
        <f>EXP(xlLinearInt(SummaryTable[Knot(년)], SummaryTable[LogDF], B15))</f>
        <v>0.99108027750247785</v>
      </c>
      <c r="E15">
        <f>C15*D15</f>
        <v>9.1674925668979203E-3</v>
      </c>
    </row>
    <row r="16" spans="1:5" x14ac:dyDescent="0.3">
      <c r="A16">
        <v>2</v>
      </c>
      <c r="B16">
        <v>0.5</v>
      </c>
      <c r="C16">
        <v>9.2499999999999995E-3</v>
      </c>
      <c r="D16">
        <f>EXP(xlLinearInt(SummaryTable[Knot(년)], SummaryTable[LogDF], B16))</f>
        <v>0.98175130783562259</v>
      </c>
      <c r="E16">
        <f>C16*D16</f>
        <v>9.0811995974795084E-3</v>
      </c>
    </row>
    <row r="17" spans="1:5" x14ac:dyDescent="0.3">
      <c r="D17" t="s">
        <v>25</v>
      </c>
      <c r="E17">
        <f>SUM(E15:E15)</f>
        <v>9.1674925668979203E-3</v>
      </c>
    </row>
    <row r="18" spans="1:5" x14ac:dyDescent="0.3">
      <c r="D18" t="s">
        <v>26</v>
      </c>
      <c r="E18">
        <f>1-D15</f>
        <v>8.9197224975221534E-3</v>
      </c>
    </row>
    <row r="20" spans="1:5" x14ac:dyDescent="0.3">
      <c r="A20" s="1" t="s">
        <v>27</v>
      </c>
    </row>
    <row r="21" spans="1:5" x14ac:dyDescent="0.3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</row>
    <row r="22" spans="1:5" x14ac:dyDescent="0.3">
      <c r="A22">
        <v>1</v>
      </c>
      <c r="B22">
        <v>0.25</v>
      </c>
      <c r="C22">
        <v>9.4999999999999998E-3</v>
      </c>
      <c r="D22">
        <f>EXP(xlLinearInt(SummaryTable[Knot(년)], SummaryTable[LogDF], B22))</f>
        <v>0.99108027750247785</v>
      </c>
      <c r="E22">
        <f>C22*D22</f>
        <v>9.4152626362735397E-3</v>
      </c>
    </row>
    <row r="23" spans="1:5" x14ac:dyDescent="0.3">
      <c r="A23">
        <v>2</v>
      </c>
      <c r="B23">
        <v>0.5</v>
      </c>
      <c r="C23">
        <v>9.4999999999999998E-3</v>
      </c>
      <c r="D23">
        <f>EXP(xlLinearInt(SummaryTable[Knot(년)], SummaryTable[LogDF], B23))</f>
        <v>0.98175130783562259</v>
      </c>
      <c r="E23">
        <f>C23*D23</f>
        <v>9.3266374244384137E-3</v>
      </c>
    </row>
    <row r="24" spans="1:5" x14ac:dyDescent="0.3">
      <c r="A24">
        <v>3</v>
      </c>
      <c r="B24">
        <v>0.75</v>
      </c>
      <c r="C24">
        <v>9.4999999999999998E-3</v>
      </c>
      <c r="D24">
        <f>EXP(xlLinearInt(SummaryTable[Knot(년)], SummaryTable[LogDF], B24))</f>
        <v>0.97202387314441607</v>
      </c>
      <c r="E24">
        <f>C24*D24</f>
        <v>9.2342267948719529E-3</v>
      </c>
    </row>
    <row r="25" spans="1:5" x14ac:dyDescent="0.3">
      <c r="D25" t="s">
        <v>25</v>
      </c>
      <c r="E25">
        <f>SUM(E22:E23)</f>
        <v>1.8741900060711955E-2</v>
      </c>
    </row>
    <row r="26" spans="1:5" x14ac:dyDescent="0.3">
      <c r="D26" t="s">
        <v>26</v>
      </c>
      <c r="E26">
        <f>1-D23</f>
        <v>1.8248692164377411E-2</v>
      </c>
    </row>
    <row r="28" spans="1:5" x14ac:dyDescent="0.3">
      <c r="A28" s="1" t="s">
        <v>28</v>
      </c>
    </row>
    <row r="29" spans="1:5" x14ac:dyDescent="0.3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21</v>
      </c>
    </row>
    <row r="30" spans="1:5" x14ac:dyDescent="0.3">
      <c r="A30">
        <v>1</v>
      </c>
      <c r="B30">
        <v>0.25</v>
      </c>
      <c r="C30">
        <v>9.75E-3</v>
      </c>
      <c r="D30">
        <f>EXP(xlLinearInt(SummaryTable[Knot(년)], SummaryTable[LogDF], B30))</f>
        <v>0.99108027750247785</v>
      </c>
      <c r="E30">
        <f>C30*D30</f>
        <v>9.6630327056491591E-3</v>
      </c>
    </row>
    <row r="31" spans="1:5" x14ac:dyDescent="0.3">
      <c r="A31">
        <v>2</v>
      </c>
      <c r="B31">
        <v>0.5</v>
      </c>
      <c r="C31">
        <v>9.75E-3</v>
      </c>
      <c r="D31">
        <f>EXP(xlLinearInt(SummaryTable[Knot(년)], SummaryTable[LogDF], B31))</f>
        <v>0.98175130783562259</v>
      </c>
      <c r="E31">
        <f>C31*D31</f>
        <v>9.5720752513973207E-3</v>
      </c>
    </row>
    <row r="32" spans="1:5" x14ac:dyDescent="0.3">
      <c r="A32">
        <v>3</v>
      </c>
      <c r="B32">
        <v>0.75</v>
      </c>
      <c r="C32">
        <v>9.75E-3</v>
      </c>
      <c r="D32">
        <f>EXP(xlLinearInt(SummaryTable[Knot(년)], SummaryTable[LogDF], B32))</f>
        <v>0.97202387314441607</v>
      </c>
      <c r="E32">
        <f>C32*D32</f>
        <v>9.4772327631580562E-3</v>
      </c>
    </row>
    <row r="33" spans="1:5" x14ac:dyDescent="0.3">
      <c r="A33">
        <v>4</v>
      </c>
      <c r="B33">
        <v>1</v>
      </c>
      <c r="C33">
        <v>9.75E-3</v>
      </c>
      <c r="D33">
        <f>EXP(xlLinearInt(SummaryTable[Knot(년)], SummaryTable[LogDF], B33))</f>
        <v>0.96190904608051042</v>
      </c>
      <c r="E33">
        <f>C33*D33</f>
        <v>9.3786131992849766E-3</v>
      </c>
    </row>
    <row r="34" spans="1:5" x14ac:dyDescent="0.3">
      <c r="D34" t="s">
        <v>25</v>
      </c>
      <c r="E34">
        <f>SUM(E30:E32)</f>
        <v>2.8712340720204534E-2</v>
      </c>
    </row>
    <row r="35" spans="1:5" x14ac:dyDescent="0.3">
      <c r="D35" t="s">
        <v>26</v>
      </c>
      <c r="E35">
        <f>1-D32</f>
        <v>2.7976126855583927E-2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요약_및_계산로직</vt:lpstr>
      <vt:lpstr>상세_캐쉬플로우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2026-01-08T12:22:39Z</dcterms:created>
  <dcterms:modified xsi:type="dcterms:W3CDTF">2026-01-08T12:22:40Z</dcterms:modified>
</cp:coreProperties>
</file>